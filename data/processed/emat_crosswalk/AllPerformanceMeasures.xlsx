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camsys.sharepoint.com/sites/200096PAGActBasedModelExplTool/Shared Documents/Documents/_Scripts/crosswalks/"/>
    </mc:Choice>
  </mc:AlternateContent>
  <xr:revisionPtr revIDLastSave="118" documentId="8_{F9A534E8-C46D-4275-8734-F7EE735B5341}" xr6:coauthVersionLast="47" xr6:coauthVersionMax="47" xr10:uidLastSave="{22704619-79E7-4BD2-94AC-77970B54BAFF}"/>
  <bookViews>
    <workbookView xWindow="0" yWindow="0" windowWidth="25733" windowHeight="14533" activeTab="1" xr2:uid="{C72800F0-F201-4429-95CC-2A8E5E78C339}"/>
  </bookViews>
  <sheets>
    <sheet name="AllPerformanceMeasures" sheetId="1" r:id="rId1"/>
    <sheet name="Priorities" sheetId="2" r:id="rId2"/>
  </sheets>
  <definedNames>
    <definedName name="_xlnm._FilterDatabase" localSheetId="0" hidden="1">AllPerformanceMeasures!$B$1:$M$248</definedName>
    <definedName name="_xlnm._FilterDatabase" localSheetId="1" hidden="1">Priorities!$A$1:$B$254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6" i="1" l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25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01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37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1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93" i="1"/>
  <c r="K197" i="1"/>
  <c r="K198" i="1"/>
  <c r="K199" i="1"/>
  <c r="K200" i="1"/>
  <c r="K196" i="1"/>
  <c r="K192" i="1"/>
  <c r="K193" i="1"/>
  <c r="K194" i="1"/>
  <c r="K195" i="1"/>
  <c r="K191" i="1"/>
  <c r="K187" i="1"/>
  <c r="K188" i="1"/>
  <c r="K189" i="1"/>
  <c r="K190" i="1"/>
  <c r="K186" i="1"/>
  <c r="K185" i="1"/>
  <c r="K182" i="1"/>
  <c r="K183" i="1"/>
  <c r="K184" i="1"/>
  <c r="K181" i="1"/>
  <c r="K177" i="1"/>
  <c r="K178" i="1"/>
  <c r="K179" i="1"/>
  <c r="K180" i="1"/>
  <c r="K176" i="1"/>
  <c r="K172" i="1"/>
  <c r="K173" i="1"/>
  <c r="K174" i="1"/>
  <c r="K175" i="1"/>
  <c r="K171" i="1"/>
  <c r="K167" i="1"/>
  <c r="K168" i="1"/>
  <c r="K169" i="1"/>
  <c r="K170" i="1"/>
  <c r="K166" i="1"/>
  <c r="K162" i="1"/>
  <c r="K163" i="1"/>
  <c r="K164" i="1"/>
  <c r="K165" i="1"/>
  <c r="K161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73" i="1"/>
</calcChain>
</file>

<file path=xl/sharedStrings.xml><?xml version="1.0" encoding="utf-8"?>
<sst xmlns="http://schemas.openxmlformats.org/spreadsheetml/2006/main" count="2192" uniqueCount="601">
  <si>
    <t>source</t>
  </si>
  <si>
    <t>measures</t>
  </si>
  <si>
    <t>dim1</t>
  </si>
  <si>
    <t>dim1_value</t>
  </si>
  <si>
    <t>dim2</t>
  </si>
  <si>
    <t>dim2_value</t>
  </si>
  <si>
    <t>Scenario</t>
  </si>
  <si>
    <t>measure_name</t>
  </si>
  <si>
    <t>measure_value</t>
  </si>
  <si>
    <t>PF Name in the Dashboard</t>
  </si>
  <si>
    <t>ABM</t>
  </si>
  <si>
    <t>Mode Share</t>
  </si>
  <si>
    <t>Mode</t>
  </si>
  <si>
    <t>Auto</t>
  </si>
  <si>
    <t>ET_Base</t>
  </si>
  <si>
    <t>Trips</t>
  </si>
  <si>
    <t>Regional Auto Trips</t>
  </si>
  <si>
    <t>Bike</t>
  </si>
  <si>
    <t>Regional Bike Trips</t>
  </si>
  <si>
    <t>SchoolBus</t>
  </si>
  <si>
    <t>Taxi</t>
  </si>
  <si>
    <t>Regional Taxi Trips</t>
  </si>
  <si>
    <t>Transit</t>
  </si>
  <si>
    <t>Regional Transit Trips</t>
  </si>
  <si>
    <t>Walk</t>
  </si>
  <si>
    <t>Regional Walk Trips</t>
  </si>
  <si>
    <t>Share</t>
  </si>
  <si>
    <t>Auto Mode Share</t>
  </si>
  <si>
    <t>Bike Mode Share</t>
  </si>
  <si>
    <t>Taxi Mode Share</t>
  </si>
  <si>
    <t>Transit Mode Share</t>
  </si>
  <si>
    <t>Walk Mode Share</t>
  </si>
  <si>
    <t>PMT</t>
  </si>
  <si>
    <t>TotalPMT</t>
  </si>
  <si>
    <t>Auto PMT</t>
  </si>
  <si>
    <t>Bike PMT</t>
  </si>
  <si>
    <t>SchoolBus PMT</t>
  </si>
  <si>
    <t>Taxi PMT</t>
  </si>
  <si>
    <t>Transit PMT</t>
  </si>
  <si>
    <t>Walk PMT</t>
  </si>
  <si>
    <t>PMTRatio</t>
  </si>
  <si>
    <t>Auto PMT Ratio</t>
  </si>
  <si>
    <t>Bike PMT Ratio</t>
  </si>
  <si>
    <t>Taxi PMT Ratio</t>
  </si>
  <si>
    <t>Transit PMT Ratio</t>
  </si>
  <si>
    <t>Walk PMT Ratio</t>
  </si>
  <si>
    <t>VMT</t>
  </si>
  <si>
    <t>Regional VMT</t>
  </si>
  <si>
    <t>CongestedVMT</t>
  </si>
  <si>
    <t xml:space="preserve">Regional Congested VMT </t>
  </si>
  <si>
    <t>CongestedVMTPCT</t>
  </si>
  <si>
    <t>Regional Congested VMT PCT</t>
  </si>
  <si>
    <t>VMTPerCapita</t>
  </si>
  <si>
    <t>Regional VMT per Capita</t>
  </si>
  <si>
    <t>VHT</t>
  </si>
  <si>
    <t>Regional VHT</t>
  </si>
  <si>
    <t>VHTPerCapita</t>
  </si>
  <si>
    <t>Regional VHTper Capita</t>
  </si>
  <si>
    <t>CommuteTime</t>
  </si>
  <si>
    <t>Average Commute Time by Auto</t>
  </si>
  <si>
    <t>Average Commute Time by Bike</t>
  </si>
  <si>
    <t>Average Commute Time by Taxi</t>
  </si>
  <si>
    <t>Average Commute Time by Transit</t>
  </si>
  <si>
    <t>Average Commute Time by Walk</t>
  </si>
  <si>
    <t>AverageTransitTravelTime</t>
  </si>
  <si>
    <t>Average Transit Travel Time</t>
  </si>
  <si>
    <t>HighwayLaneMiles</t>
  </si>
  <si>
    <t>LINKCLASS</t>
  </si>
  <si>
    <t>freeway</t>
  </si>
  <si>
    <t>Highway Lane Miles of Freeways</t>
  </si>
  <si>
    <t>parkway</t>
  </si>
  <si>
    <t>Highway Lane Miles of Parkways</t>
  </si>
  <si>
    <t>major_arterial</t>
  </si>
  <si>
    <t>Highway Lane Miles of Major Arterial</t>
  </si>
  <si>
    <t>minor_arterial</t>
  </si>
  <si>
    <t>Highway Lane Miles of Minor Arterial</t>
  </si>
  <si>
    <t>collector</t>
  </si>
  <si>
    <t>Highway Lane Miles of Collector</t>
  </si>
  <si>
    <t>ramp</t>
  </si>
  <si>
    <t>Highway Lane Miles of Ramps</t>
  </si>
  <si>
    <t>frontage_road</t>
  </si>
  <si>
    <t>Highway Lane Miles of Frontage Road</t>
  </si>
  <si>
    <t>TransitMilesPerFrequency</t>
  </si>
  <si>
    <t>Rural</t>
  </si>
  <si>
    <t>TimePeriod</t>
  </si>
  <si>
    <t>PK</t>
  </si>
  <si>
    <t>Rural Transit Miles Per Frequency - PK</t>
  </si>
  <si>
    <t>Regular</t>
  </si>
  <si>
    <t>Regular Transit Miles Per Frequency - PK</t>
  </si>
  <si>
    <t>Express</t>
  </si>
  <si>
    <t>Express Transit Miles Per Frequency - PK</t>
  </si>
  <si>
    <t>CatTran</t>
  </si>
  <si>
    <t>CatTran Transit Miles Per Frequency - PK</t>
  </si>
  <si>
    <t>BRT</t>
  </si>
  <si>
    <t>Regional BRT Transit Miles Per Frequency - PK</t>
  </si>
  <si>
    <t>OP</t>
  </si>
  <si>
    <t>Rural Transit Miles Per Frequency - OP</t>
  </si>
  <si>
    <t>Regular Transit Miles Per Frequency - OP</t>
  </si>
  <si>
    <t>Express Transit Miles Per Frequency - OP</t>
  </si>
  <si>
    <t>CatTran Transit Miles Per Frequency - OP</t>
  </si>
  <si>
    <t>Regional BRT Transit Miles Per Frequency - OP</t>
  </si>
  <si>
    <t>TransitQuarterMilePopEmp</t>
  </si>
  <si>
    <t>Type</t>
  </si>
  <si>
    <t>Total</t>
  </si>
  <si>
    <t>Population</t>
  </si>
  <si>
    <t>Regional Total Population</t>
  </si>
  <si>
    <t>Number</t>
  </si>
  <si>
    <t>Total Population within Quarter Mile</t>
  </si>
  <si>
    <t>Percentage</t>
  </si>
  <si>
    <t>Percentage of Population within Quarter Mile</t>
  </si>
  <si>
    <t>TotalDISADV</t>
  </si>
  <si>
    <t>Regional Total DISADV Population</t>
  </si>
  <si>
    <t>NumberDISADV</t>
  </si>
  <si>
    <t>DISADV Population within QuarterMile</t>
  </si>
  <si>
    <t>PercentageDISADV</t>
  </si>
  <si>
    <t>Percentage of DISADV Population within Quarter Mile</t>
  </si>
  <si>
    <t>Jobs</t>
  </si>
  <si>
    <t>Regional Total Jobs</t>
  </si>
  <si>
    <t>Total Jobs within Quarter Mile</t>
  </si>
  <si>
    <t>Percentage of Jobs within Quarter Mile</t>
  </si>
  <si>
    <t>Regional Total DISADV Jobs</t>
  </si>
  <si>
    <t>DISADV Jobs within QuarterMile</t>
  </si>
  <si>
    <t>Percentage of DISADV Jobs within Quarter Mile</t>
  </si>
  <si>
    <t>AverageTransitSpeed</t>
  </si>
  <si>
    <t>PK Average Transit Speed</t>
  </si>
  <si>
    <t>OP Average Transit Speed</t>
  </si>
  <si>
    <t>DY</t>
  </si>
  <si>
    <t>DY Average Transit Speed</t>
  </si>
  <si>
    <t>TravelTimeIndex</t>
  </si>
  <si>
    <t>AM</t>
  </si>
  <si>
    <t>AM Travel Time Index</t>
  </si>
  <si>
    <t>PM</t>
  </si>
  <si>
    <t>PM Travel Time Index</t>
  </si>
  <si>
    <t>Speed</t>
  </si>
  <si>
    <t>Regional Speed</t>
  </si>
  <si>
    <t>Accessibility</t>
  </si>
  <si>
    <t>Auto Accessibility Off Peak</t>
  </si>
  <si>
    <t>Auto Accessibility Peak</t>
  </si>
  <si>
    <t>Auto Accessibility Off Peak within 30 Minutes</t>
  </si>
  <si>
    <t>Auto Accessibility Peak within 30 Minutes</t>
  </si>
  <si>
    <t>Auto Accessibility Percentage Off Peak within 30 Minutes</t>
  </si>
  <si>
    <t>Auto Accessibility Percentage Peak within 30 Minutes</t>
  </si>
  <si>
    <t>Transit Accessibility Off Peak</t>
  </si>
  <si>
    <t>Transit Accessibility Peak</t>
  </si>
  <si>
    <t>Transit Accessibility Off Peak within 45 Minutes</t>
  </si>
  <si>
    <t>Transit Accessibility Off Peak within 60 Minutes</t>
  </si>
  <si>
    <t>Transit Accessibility Off Peak within 90 Minutes</t>
  </si>
  <si>
    <t>Transit Accessibility Percentage Off Peak within 45 Minutes</t>
  </si>
  <si>
    <t>Transit Accessibility Percentage Off Peak within 60 Minutes</t>
  </si>
  <si>
    <t>Transit Accessibility Percentage Off Peak within 90 Minutes</t>
  </si>
  <si>
    <t>Transit Accessibility Peak within 45 Minutes</t>
  </si>
  <si>
    <t>Transit Accessibility Peak within 60 Minutes</t>
  </si>
  <si>
    <t>Transit Accessibility Peak within 90 Minutes</t>
  </si>
  <si>
    <t>Transit Accessibility Percetange Peak within 45 Minutes</t>
  </si>
  <si>
    <t>Transit Accessibility Percentage Peak within 60 Minutes</t>
  </si>
  <si>
    <t>Transit Accessibility Percentage Peak within 90 Minutes</t>
  </si>
  <si>
    <t>Disadvantage Zone Home to Work Commute Time</t>
  </si>
  <si>
    <t>Disadvantage Zone</t>
  </si>
  <si>
    <t>0 - Non-Disadvantage Zone</t>
  </si>
  <si>
    <t>1 Disadvantage Zone</t>
  </si>
  <si>
    <t>Disadvantage Zone Work to Home Commute Time</t>
  </si>
  <si>
    <t>Disadvantage Zone Average Travel Time per Household</t>
  </si>
  <si>
    <t>Average Travel Time per Household</t>
  </si>
  <si>
    <t>Disadvantage Zone Average Travel Time per Person</t>
  </si>
  <si>
    <t>Average Travel Time per Person</t>
  </si>
  <si>
    <t>Disadvantage Zone Average Travel Distance per Household</t>
  </si>
  <si>
    <t>Average Travel Distance per Household</t>
  </si>
  <si>
    <t>Disadvantage Zone Average Travel Distance per Person</t>
  </si>
  <si>
    <t>Average Travel Distance per Person</t>
  </si>
  <si>
    <t>Average Commute Time by Mode by Income Quartile</t>
  </si>
  <si>
    <t>Income Quartile</t>
  </si>
  <si>
    <t>Q1</t>
  </si>
  <si>
    <t>Commute Time</t>
  </si>
  <si>
    <t>Q2</t>
  </si>
  <si>
    <t>Q3</t>
  </si>
  <si>
    <t>Q4</t>
  </si>
  <si>
    <t>Average Commute Distance by Mode by Income Quartile</t>
  </si>
  <si>
    <t>Commute Distance</t>
  </si>
  <si>
    <t>JobAccessibilityEquity</t>
  </si>
  <si>
    <t>DisAdvantageZone</t>
  </si>
  <si>
    <t>BasicNeedAccessibilityEquity</t>
  </si>
  <si>
    <t>Dashboard</t>
  </si>
  <si>
    <t>Y</t>
  </si>
  <si>
    <t>Particulate matter 2.5 micrometers or smaller emissions (PM2.5)</t>
  </si>
  <si>
    <t>Carbon monoxide (CO) emissions</t>
  </si>
  <si>
    <t>Particulate matter 10 micrometers or smaller emissions (PM10) </t>
  </si>
  <si>
    <t>Greenhouse gas emissions (CO2) equivalent</t>
  </si>
  <si>
    <t>Volatile organic compounds (VOC) emissions</t>
  </si>
  <si>
    <t>Nitrous oxide (NOx) emissions</t>
  </si>
  <si>
    <t>ID</t>
  </si>
  <si>
    <t>School Bus PMT Ratio</t>
  </si>
  <si>
    <t>School Bus Mode Share</t>
  </si>
  <si>
    <t>Regional School Bus Trips</t>
  </si>
  <si>
    <t>comb_col_name</t>
  </si>
  <si>
    <t>ABM_Mode Share_Mode_Auto___Trips</t>
  </si>
  <si>
    <t>ABM_Mode Share_Mode_Bike___Trips</t>
  </si>
  <si>
    <t>ABM_Mode Share_Mode_SchoolBus___Trips</t>
  </si>
  <si>
    <t>ABM_Mode Share_Mode_Taxi___Trips</t>
  </si>
  <si>
    <t>ABM_Mode Share_Mode_Transit___Trips</t>
  </si>
  <si>
    <t>ABM_Mode Share_Mode_Walk___Trips</t>
  </si>
  <si>
    <t>ABM_Mode Share_Mode_Auto___Share</t>
  </si>
  <si>
    <t>ABM_Mode Share_Mode_Bike___Share</t>
  </si>
  <si>
    <t>ABM_Mode Share_Mode_SchoolBus___Share</t>
  </si>
  <si>
    <t>ABM_Mode Share_Mode_Taxi___Share</t>
  </si>
  <si>
    <t>ABM_Mode Share_Mode_Transit___Share</t>
  </si>
  <si>
    <t>ABM_Mode Share_Mode_Walk___Share</t>
  </si>
  <si>
    <t>ABM_PMT_Mode_Auto___TotalPMT</t>
  </si>
  <si>
    <t>ABM_PMT_Mode_Bike___TotalPMT</t>
  </si>
  <si>
    <t>ABM_PMT_Mode_SchoolBus___TotalPMT</t>
  </si>
  <si>
    <t>ABM_PMT_Mode_Taxi___TotalPMT</t>
  </si>
  <si>
    <t>ABM_PMT_Mode_Transit___TotalPMT</t>
  </si>
  <si>
    <t>ABM_PMT_Mode_Walk___TotalPMT</t>
  </si>
  <si>
    <t>ABM_PMT_Mode_Auto___PMTRatio</t>
  </si>
  <si>
    <t>ABM_PMT_Mode_Bike___PMTRatio</t>
  </si>
  <si>
    <t>ABM_PMT_Mode_SchoolBus___PMTRatio</t>
  </si>
  <si>
    <t>ABM_PMT_Mode_Taxi___PMTRatio</t>
  </si>
  <si>
    <t>ABM_PMT_Mode_Transit___PMTRatio</t>
  </si>
  <si>
    <t>ABM_PMT_Mode_Walk___PMTRatio</t>
  </si>
  <si>
    <t>ABM_VMT_____VMT</t>
  </si>
  <si>
    <t>ABM_CongestedVMT_____CongestedVMT</t>
  </si>
  <si>
    <t>ABM_CongestedVMTPCT_____CongestedVMTPCT</t>
  </si>
  <si>
    <t>ABM_VMT_____VMTPerCapita</t>
  </si>
  <si>
    <t>ABM_VHT_____VHT</t>
  </si>
  <si>
    <t>ABM_VHT_____VHTPerCapita</t>
  </si>
  <si>
    <t>ABM_CommuteTime_Mode_Auto___CommuteTime</t>
  </si>
  <si>
    <t>ABM_CommuteTime_Mode_Bike___CommuteTime</t>
  </si>
  <si>
    <t>ABM_CommuteTime_Mode_Taxi___CommuteTime</t>
  </si>
  <si>
    <t>ABM_CommuteTime_Mode_Transit___CommuteTime</t>
  </si>
  <si>
    <t>ABM_CommuteTime_Mode_Walk___CommuteTime</t>
  </si>
  <si>
    <t>ABM_AverageTransitTravelTime_____AverageTransitTravelTime</t>
  </si>
  <si>
    <t>ABM_HighwayLaneMiles_LINKCLASS_freeway___HighwayLaneMiles</t>
  </si>
  <si>
    <t>ABM_HighwayLaneMiles_LINKCLASS_parkway___HighwayLaneMiles</t>
  </si>
  <si>
    <t>ABM_HighwayLaneMiles_LINKCLASS_major_arterial___HighwayLaneMiles</t>
  </si>
  <si>
    <t>ABM_HighwayLaneMiles_LINKCLASS_minor_arterial___HighwayLaneMiles</t>
  </si>
  <si>
    <t>ABM_HighwayLaneMiles_LINKCLASS_collector___HighwayLaneMiles</t>
  </si>
  <si>
    <t>ABM_HighwayLaneMiles_LINKCLASS_ramp___HighwayLaneMiles</t>
  </si>
  <si>
    <t>ABM_HighwayLaneMiles_LINKCLASS_frontage_road___HighwayLaneMiles</t>
  </si>
  <si>
    <t>ABM_TransitMilesPerFrequency_Mode_Rural_TimePeriod_PK_TransitMilesPerFrequency</t>
  </si>
  <si>
    <t>ABM_TransitMilesPerFrequency_Mode_Regular_TimePeriod_PK_TransitMilesPerFrequency</t>
  </si>
  <si>
    <t>ABM_TransitMilesPerFrequency_Mode_Express_TimePeriod_PK_TransitMilesPerFrequency</t>
  </si>
  <si>
    <t>ABM_TransitMilesPerFrequency_Mode_CatTran_TimePeriod_PK_TransitMilesPerFrequency</t>
  </si>
  <si>
    <t>ABM_TransitMilesPerFrequency_Mode_BRT_TimePeriod_PK_TransitMilesPerFrequency</t>
  </si>
  <si>
    <t>ABM_TransitMilesPerFrequency_Mode_Rural_TimePeriod_OP_TransitMilesPerFrequency</t>
  </si>
  <si>
    <t>ABM_TransitMilesPerFrequency_Mode_Regular_TimePeriod_OP_TransitMilesPerFrequency</t>
  </si>
  <si>
    <t>ABM_TransitMilesPerFrequency_Mode_Express_TimePeriod_OP_TransitMilesPerFrequency</t>
  </si>
  <si>
    <t>ABM_TransitMilesPerFrequency_Mode_CatTran_TimePeriod_OP_TransitMilesPerFrequency</t>
  </si>
  <si>
    <t>ABM_TransitMilesPerFrequency_Mode_BRT_TimePeriod_OP_TransitMilesPerFrequency</t>
  </si>
  <si>
    <t>ABM_TransitQuarterMilePopEmp_Type_Total___Population</t>
  </si>
  <si>
    <t>ABM_TransitQuarterMilePopEmp_Type_Number___Population</t>
  </si>
  <si>
    <t>ABM_TransitQuarterMilePopEmp_Type_Percentage___Population</t>
  </si>
  <si>
    <t>ABM_TransitQuarterMilePopEmp_Type_TotalDISADV___Population</t>
  </si>
  <si>
    <t>ABM_TransitQuarterMilePopEmp_Type_NumberDISADV___Population</t>
  </si>
  <si>
    <t>ABM_TransitQuarterMilePopEmp_Type_PercentageDISADV___Population</t>
  </si>
  <si>
    <t>ABM_TransitQuarterMilePopEmp_Type_Total___Jobs</t>
  </si>
  <si>
    <t>ABM_TransitQuarterMilePopEmp_Type_Number___Jobs</t>
  </si>
  <si>
    <t>ABM_TransitQuarterMilePopEmp_Type_Percentage___Jobs</t>
  </si>
  <si>
    <t>ABM_TransitQuarterMilePopEmp_Type_TotalDISADV___Jobs</t>
  </si>
  <si>
    <t>ABM_TransitQuarterMilePopEmp_Type_NumberDISADV___Jobs</t>
  </si>
  <si>
    <t>ABM_TransitQuarterMilePopEmp_Type_PercentageDISADV___Jobs</t>
  </si>
  <si>
    <t>ABM_AverageTransitSpeed_TimePeriod_PK___AverageTransitSpeed</t>
  </si>
  <si>
    <t>ABM_AverageTransitSpeed_TimePeriod_OP___AverageTransitSpeed</t>
  </si>
  <si>
    <t>ABM_AverageTransitSpeed_TimePeriod_DY___AverageTransitSpeed</t>
  </si>
  <si>
    <t>ABM_TravelTimeIndex_TimePeriod_AM___TravelTimeIndex</t>
  </si>
  <si>
    <t>ABM_TravelTimeIndex_TimePeriod_PM___TravelTimeIndex</t>
  </si>
  <si>
    <t>ABM_Speed_____Speed</t>
  </si>
  <si>
    <t>ABM_Accessibility_____Auto Accessibility Off Peak</t>
  </si>
  <si>
    <t>ABM_Accessibility_____Auto Accessibility Peak</t>
  </si>
  <si>
    <t>ABM_Accessibility_____Auto Accessibility Off Peak within 30 Minutes</t>
  </si>
  <si>
    <t>ABM_Accessibility_____Auto Accessibility Peak within 30 Minutes</t>
  </si>
  <si>
    <t>ABM_Accessibility_____Auto Accessibility Percentage Off Peak within 30 Minutes</t>
  </si>
  <si>
    <t>ABM_Accessibility_____Auto Accessibility Percentage Peak within 30 Minutes</t>
  </si>
  <si>
    <t>ABM_Accessibility_____Transit Accessibility Off Peak</t>
  </si>
  <si>
    <t>ABM_Accessibility_____Transit Accessibility Peak</t>
  </si>
  <si>
    <t>ABM_Accessibility_____Transit Accessibility Off Peak within 45 Minutes</t>
  </si>
  <si>
    <t>ABM_Accessibility_____Transit Accessibility Off Peak within 60 Minutes</t>
  </si>
  <si>
    <t>ABM_Accessibility_____Transit Accessibility Off Peak within 90 Minutes</t>
  </si>
  <si>
    <t>ABM_Accessibility_____Transit Accessibility Percentage Off Peak within 45 Minutes</t>
  </si>
  <si>
    <t>ABM_Accessibility_____Transit Accessibility Percentage Off Peak within 60 Minutes</t>
  </si>
  <si>
    <t>ABM_Accessibility_____Transit Accessibility Percentage Off Peak within 90 Minutes</t>
  </si>
  <si>
    <t>ABM_Accessibility_____Transit Accessibility Peak within 45 Minutes</t>
  </si>
  <si>
    <t>ABM_Accessibility_____Transit Accessibility Peak within 60 Minutes</t>
  </si>
  <si>
    <t>ABM_Accessibility_____Transit Accessibility Peak within 90 Minutes</t>
  </si>
  <si>
    <t>ABM_Accessibility_____Transit Accessibility Percetange Peak within 45 Minutes</t>
  </si>
  <si>
    <t>ABM_Accessibility_____Transit Accessibility Percentage Peak within 60 Minutes</t>
  </si>
  <si>
    <t>ABM_Accessibility_____Transit Accessibility Percentage Peak within 90 Minutes</t>
  </si>
  <si>
    <t>ABM_Disadvantage Zone Home to Work Commute Time_Mode_Auto_Disadvantage Zone_0_CommuteTime</t>
  </si>
  <si>
    <t>ABM_Disadvantage Zone Home to Work Commute Time_Mode_Auto_Disadvantage Zone_1_CommuteTime</t>
  </si>
  <si>
    <t>ABM_Disadvantage Zone Home to Work Commute Time_Mode_Bike_Disadvantage Zone_0_CommuteTime</t>
  </si>
  <si>
    <t>ABM_Disadvantage Zone Home to Work Commute Time_Mode_Bike_Disadvantage Zone_1_CommuteTime</t>
  </si>
  <si>
    <t>ABM_Disadvantage Zone Home to Work Commute Time_Mode_Taxi_Disadvantage Zone_0_CommuteTime</t>
  </si>
  <si>
    <t>ABM_Disadvantage Zone Home to Work Commute Time_Mode_Taxi_Disadvantage Zone_1_CommuteTime</t>
  </si>
  <si>
    <t>ABM_Disadvantage Zone Home to Work Commute Time_Mode_Transit_Disadvantage Zone_0_CommuteTime</t>
  </si>
  <si>
    <t>ABM_Disadvantage Zone Home to Work Commute Time_Mode_Transit_Disadvantage Zone_1_CommuteTime</t>
  </si>
  <si>
    <t>ABM_Disadvantage Zone Home to Work Commute Time_Mode_Walk_Disadvantage Zone_0_CommuteTime</t>
  </si>
  <si>
    <t>ABM_Disadvantage Zone Home to Work Commute Time_Mode_Walk_Disadvantage Zone_1_CommuteTime</t>
  </si>
  <si>
    <t>ABM_Disadvantage Zone Work to Home Commute Time_Mode_Auto_Disadvantage Zone_0_CommuteTime</t>
  </si>
  <si>
    <t>ABM_Disadvantage Zone Work to Home Commute Time_Mode_Auto_Disadvantage Zone_1_CommuteTime</t>
  </si>
  <si>
    <t>ABM_Disadvantage Zone Work to Home Commute Time_Mode_Bike_Disadvantage Zone_0_CommuteTime</t>
  </si>
  <si>
    <t>ABM_Disadvantage Zone Work to Home Commute Time_Mode_Bike_Disadvantage Zone_1_CommuteTime</t>
  </si>
  <si>
    <t>ABM_Disadvantage Zone Work to Home Commute Time_Mode_Taxi_Disadvantage Zone_1_CommuteTime</t>
  </si>
  <si>
    <t>ABM_Disadvantage Zone Work to Home Commute Time_Mode_Transit_Disadvantage Zone_0_CommuteTime</t>
  </si>
  <si>
    <t>ABM_Disadvantage Zone Work to Home Commute Time_Mode_Transit_Disadvantage Zone_1_CommuteTime</t>
  </si>
  <si>
    <t>ABM_Disadvantage Zone Work to Home Commute Time_Mode_Walk_Disadvantage Zone_0_CommuteTime</t>
  </si>
  <si>
    <t>ABM_Disadvantage Zone Work to Home Commute Time_Mode_Walk_Disadvantage Zone_1_CommuteTime</t>
  </si>
  <si>
    <t>ABM_Disadvantage Zone Average Travel Time per Household_Mode_Auto_Disadvantage Zone_0_Average Travel Time per Household</t>
  </si>
  <si>
    <t>ABM_Disadvantage Zone Average Travel Time per Household_Mode_Bike_Disadvantage Zone_0_Average Travel Time per Household</t>
  </si>
  <si>
    <t>ABM_Disadvantage Zone Average Travel Time per Household_Mode_SchoolBus_Disadvantage Zone_0_Average Travel Time per Household</t>
  </si>
  <si>
    <t>ABM_Disadvantage Zone Average Travel Time per Household_Mode_Taxi_Disadvantage Zone_0_Average Travel Time per Household</t>
  </si>
  <si>
    <t>ABM_Disadvantage Zone Average Travel Time per Household_Mode_Transit_Disadvantage Zone_0_Average Travel Time per Household</t>
  </si>
  <si>
    <t>ABM_Disadvantage Zone Average Travel Time per Household_Mode_Walk_Disadvantage Zone_0_Average Travel Time per Household</t>
  </si>
  <si>
    <t>ABM_Disadvantage Zone Average Travel Time per Household_Mode_Auto_Disadvantage Zone_1_Average Travel Time per Household</t>
  </si>
  <si>
    <t>ABM_Disadvantage Zone Average Travel Time per Household_Mode_Bike_Disadvantage Zone_1_Average Travel Time per Household</t>
  </si>
  <si>
    <t>ABM_Disadvantage Zone Average Travel Time per Household_Mode_SchoolBus_Disadvantage Zone_1_Average Travel Time per Household</t>
  </si>
  <si>
    <t>ABM_Disadvantage Zone Average Travel Time per Household_Mode_Taxi_Disadvantage Zone_1_Average Travel Time per Household</t>
  </si>
  <si>
    <t>ABM_Disadvantage Zone Average Travel Time per Household_Mode_Transit_Disadvantage Zone_1_Average Travel Time per Household</t>
  </si>
  <si>
    <t>ABM_Disadvantage Zone Average Travel Time per Household_Mode_Walk_Disadvantage Zone_1_Average Travel Time per Household</t>
  </si>
  <si>
    <t>ABM_Disadvantage Zone Average Travel Time per Person_Mode_Auto_Disadvantage Zone_0_Average Travel Time per Person</t>
  </si>
  <si>
    <t>ABM_Disadvantage Zone Average Travel Time per Person_Mode_Bike_Disadvantage Zone_0_Average Travel Time per Person</t>
  </si>
  <si>
    <t>ABM_Disadvantage Zone Average Travel Time per Person_Mode_SchoolBus_Disadvantage Zone_0_Average Travel Time per Person</t>
  </si>
  <si>
    <t>ABM_Disadvantage Zone Average Travel Time per Person_Mode_Taxi_Disadvantage Zone_0_Average Travel Time per Person</t>
  </si>
  <si>
    <t>ABM_Disadvantage Zone Average Travel Time per Person_Mode_Transit_Disadvantage Zone_0_Average Travel Time per Person</t>
  </si>
  <si>
    <t>ABM_Disadvantage Zone Average Travel Time per Person_Mode_Walk_Disadvantage Zone_0_Average Travel Time per Person</t>
  </si>
  <si>
    <t>ABM_Disadvantage Zone Average Travel Time per Person_Mode_Auto_Disadvantage Zone_1_Average Travel Time per Person</t>
  </si>
  <si>
    <t>ABM_Disadvantage Zone Average Travel Time per Person_Mode_Bike_Disadvantage Zone_1_Average Travel Time per Person</t>
  </si>
  <si>
    <t>ABM_Disadvantage Zone Average Travel Time per Person_Mode_SchoolBus_Disadvantage Zone_1_Average Travel Time per Person</t>
  </si>
  <si>
    <t>ABM_Disadvantage Zone Average Travel Time per Person_Mode_Taxi_Disadvantage Zone_1_Average Travel Time per Person</t>
  </si>
  <si>
    <t>ABM_Disadvantage Zone Average Travel Time per Person_Mode_Transit_Disadvantage Zone_1_Average Travel Time per Person</t>
  </si>
  <si>
    <t>ABM_Disadvantage Zone Average Travel Time per Person_Mode_Walk_Disadvantage Zone_1_Average Travel Time per Person</t>
  </si>
  <si>
    <t>ABM_Disadvantage Zone Average Travel Distance per Household_Mode_Auto_Disadvantage Zone_0_Average Travel Distance per Household</t>
  </si>
  <si>
    <t>ABM_Disadvantage Zone Average Travel Distance per Household_Mode_Bike_Disadvantage Zone_0_Average Travel Distance per Household</t>
  </si>
  <si>
    <t>ABM_Disadvantage Zone Average Travel Distance per Household_Mode_SchoolBus_Disadvantage Zone_0_Average Travel Distance per Household</t>
  </si>
  <si>
    <t>ABM_Disadvantage Zone Average Travel Distance per Household_Mode_Taxi_Disadvantage Zone_0_Average Travel Distance per Household</t>
  </si>
  <si>
    <t>ABM_Disadvantage Zone Average Travel Distance per Household_Mode_Transit_Disadvantage Zone_0_Average Travel Distance per Household</t>
  </si>
  <si>
    <t>ABM_Disadvantage Zone Average Travel Distance per Household_Mode_Walk_Disadvantage Zone_0_Average Travel Distance per Household</t>
  </si>
  <si>
    <t>ABM_Disadvantage Zone Average Travel Distance per Household_Mode_Auto_Disadvantage Zone_1_Average Travel Distance per Household</t>
  </si>
  <si>
    <t>ABM_Disadvantage Zone Average Travel Distance per Household_Mode_Bike_Disadvantage Zone_1_Average Travel Distance per Household</t>
  </si>
  <si>
    <t>ABM_Disadvantage Zone Average Travel Distance per Household_Mode_SchoolBus_Disadvantage Zone_1_Average Travel Distance per Household</t>
  </si>
  <si>
    <t>ABM_Disadvantage Zone Average Travel Distance per Household_Mode_Taxi_Disadvantage Zone_1_Average Travel Distance per Household</t>
  </si>
  <si>
    <t>ABM_Disadvantage Zone Average Travel Distance per Household_Mode_Transit_Disadvantage Zone_1_Average Travel Distance per Household</t>
  </si>
  <si>
    <t>ABM_Disadvantage Zone Average Travel Distance per Household_Mode_Walk_Disadvantage Zone_1_Average Travel Distance per Household</t>
  </si>
  <si>
    <t>ABM_Disadvantage Zone Average Travel Distance per Person_Mode_Auto_Disadvantage Zone_0_Average Travel Distance per Person</t>
  </si>
  <si>
    <t>ABM_Disadvantage Zone Average Travel Distance per Person_Mode_Bike_Disadvantage Zone_0_Average Travel Distance per Person</t>
  </si>
  <si>
    <t>ABM_Disadvantage Zone Average Travel Distance per Person_Mode_SchoolBus_Disadvantage Zone_0_Average Travel Distance per Person</t>
  </si>
  <si>
    <t>ABM_Disadvantage Zone Average Travel Distance per Person_Mode_Taxi_Disadvantage Zone_0_Average Travel Distance per Person</t>
  </si>
  <si>
    <t>ABM_Disadvantage Zone Average Travel Distance per Person_Mode_Transit_Disadvantage Zone_0_Average Travel Distance per Person</t>
  </si>
  <si>
    <t>ABM_Disadvantage Zone Average Travel Distance per Person_Mode_Walk_Disadvantage Zone_0_Average Travel Distance per Person</t>
  </si>
  <si>
    <t>ABM_Disadvantage Zone Average Travel Distance per Person_Mode_Auto_Disadvantage Zone_1_Average Travel Distance per Person</t>
  </si>
  <si>
    <t>ABM_Disadvantage Zone Average Travel Distance per Person_Mode_Bike_Disadvantage Zone_1_Average Travel Distance per Person</t>
  </si>
  <si>
    <t>ABM_Disadvantage Zone Average Travel Distance per Person_Mode_SchoolBus_Disadvantage Zone_1_Average Travel Distance per Person</t>
  </si>
  <si>
    <t>ABM_Disadvantage Zone Average Travel Distance per Person_Mode_Taxi_Disadvantage Zone_1_Average Travel Distance per Person</t>
  </si>
  <si>
    <t>ABM_Disadvantage Zone Average Travel Distance per Person_Mode_Transit_Disadvantage Zone_1_Average Travel Distance per Person</t>
  </si>
  <si>
    <t>ABM_Disadvantage Zone Average Travel Distance per Person_Mode_Walk_Disadvantage Zone_1_Average Travel Distance per Person</t>
  </si>
  <si>
    <t>ABM_Average Commute Time by Mode by Income Quartile_Mode_Auto_Income Quartile_Q1_Commute Time</t>
  </si>
  <si>
    <t>ABM_Average Commute Time by Mode by Income Quartile_Mode_Bike_Income Quartile_Q1_Commute Time</t>
  </si>
  <si>
    <t>ABM_Average Commute Time by Mode by Income Quartile_Mode_Taxi_Income Quartile_Q1_Commute Time</t>
  </si>
  <si>
    <t>ABM_Average Commute Time by Mode by Income Quartile_Mode_Transit_Income Quartile_Q1_Commute Time</t>
  </si>
  <si>
    <t>ABM_Average Commute Time by Mode by Income Quartile_Mode_Walk_Income Quartile_Q1_Commute Time</t>
  </si>
  <si>
    <t>ABM_Average Commute Time by Mode by Income Quartile_Mode_Auto_Income Quartile_Q2_Commute Time</t>
  </si>
  <si>
    <t>ABM_Average Commute Time by Mode by Income Quartile_Mode_Bike_Income Quartile_Q2_Commute Time</t>
  </si>
  <si>
    <t>ABM_Average Commute Time by Mode by Income Quartile_Mode_Taxi_Income Quartile_Q2_Commute Time</t>
  </si>
  <si>
    <t>ABM_Average Commute Time by Mode by Income Quartile_Mode_Transit_Income Quartile_Q2_Commute Time</t>
  </si>
  <si>
    <t>ABM_Average Commute Time by Mode by Income Quartile_Mode_Walk_Income Quartile_Q2_Commute Time</t>
  </si>
  <si>
    <t>ABM_Average Commute Time by Mode by Income Quartile_Mode_Auto_Income Quartile_Q3_Commute Time</t>
  </si>
  <si>
    <t>ABM_Average Commute Time by Mode by Income Quartile_Mode_Bike_Income Quartile_Q3_Commute Time</t>
  </si>
  <si>
    <t>ABM_Average Commute Time by Mode by Income Quartile_Mode_Transit_Income Quartile_Q3_Commute Time</t>
  </si>
  <si>
    <t>ABM_Average Commute Time by Mode by Income Quartile_Mode_Walk_Income Quartile_Q3_Commute Time</t>
  </si>
  <si>
    <t>ABM_Average Commute Time by Mode by Income Quartile_Mode_Auto_Income Quartile_Q4_Commute Time</t>
  </si>
  <si>
    <t>ABM_Average Commute Time by Mode by Income Quartile_Mode_Bike_Income Quartile_Q4_Commute Time</t>
  </si>
  <si>
    <t>ABM_Average Commute Time by Mode by Income Quartile_Mode_Taxi_Income Quartile_Q4_Commute Time</t>
  </si>
  <si>
    <t>ABM_Average Commute Time by Mode by Income Quartile_Mode_Transit_Income Quartile_Q4_Commute Time</t>
  </si>
  <si>
    <t>ABM_Average Commute Time by Mode by Income Quartile_Mode_Walk_Income Quartile_Q4_Commute Time</t>
  </si>
  <si>
    <t>ABM_Average Commute Distance by Mode by Income Quartile_Mode_Auto_Income Quartile_Q1_Commute Distance</t>
  </si>
  <si>
    <t>ABM_Average Commute Distance by Mode by Income Quartile_Mode_Bike_Income Quartile_Q1_Commute Distance</t>
  </si>
  <si>
    <t>ABM_Average Commute Distance by Mode by Income Quartile_Mode_Taxi_Income Quartile_Q1_Commute Distance</t>
  </si>
  <si>
    <t>ABM_Average Commute Distance by Mode by Income Quartile_Mode_Transit_Income Quartile_Q1_Commute Distance</t>
  </si>
  <si>
    <t>ABM_Average Commute Distance by Mode by Income Quartile_Mode_Walk_Income Quartile_Q1_Commute Distance</t>
  </si>
  <si>
    <t>ABM_Average Commute Distance by Mode by Income Quartile_Mode_Auto_Income Quartile_Q2_Commute Distance</t>
  </si>
  <si>
    <t>ABM_Average Commute Distance by Mode by Income Quartile_Mode_Bike_Income Quartile_Q2_Commute Distance</t>
  </si>
  <si>
    <t>ABM_Average Commute Distance by Mode by Income Quartile_Mode_Taxi_Income Quartile_Q2_Commute Distance</t>
  </si>
  <si>
    <t>ABM_Average Commute Distance by Mode by Income Quartile_Mode_Transit_Income Quartile_Q2_Commute Distance</t>
  </si>
  <si>
    <t>ABM_Average Commute Distance by Mode by Income Quartile_Mode_Walk_Income Quartile_Q2_Commute Distance</t>
  </si>
  <si>
    <t>ABM_Average Commute Distance by Mode by Income Quartile_Mode_Auto_Income Quartile_Q3_Commute Distance</t>
  </si>
  <si>
    <t>ABM_Average Commute Distance by Mode by Income Quartile_Mode_Bike_Income Quartile_Q3_Commute Distance</t>
  </si>
  <si>
    <t>ABM_Average Commute Distance by Mode by Income Quartile_Mode_Transit_Income Quartile_Q3_Commute Distance</t>
  </si>
  <si>
    <t>ABM_Average Commute Distance by Mode by Income Quartile_Mode_Walk_Income Quartile_Q3_Commute Distance</t>
  </si>
  <si>
    <t>ABM_Average Commute Distance by Mode by Income Quartile_Mode_Auto_Income Quartile_Q4_Commute Distance</t>
  </si>
  <si>
    <t>ABM_Average Commute Distance by Mode by Income Quartile_Mode_Bike_Income Quartile_Q4_Commute Distance</t>
  </si>
  <si>
    <t>ABM_Average Commute Distance by Mode by Income Quartile_Mode_Taxi_Income Quartile_Q4_Commute Distance</t>
  </si>
  <si>
    <t>ABM_Average Commute Distance by Mode by Income Quartile_Mode_Transit_Income Quartile_Q4_Commute Distance</t>
  </si>
  <si>
    <t>ABM_Average Commute Distance by Mode by Income Quartile_Mode_Walk_Income Quartile_Q4_Commute Distance</t>
  </si>
  <si>
    <t>ABM_JobAccessibilityEquity_DisAdvantageZone_0___Auto Accessibility Off Peak</t>
  </si>
  <si>
    <t>ABM_JobAccessibilityEquity_DisAdvantageZone_1___Auto Accessibility Off Peak</t>
  </si>
  <si>
    <t>ABM_JobAccessibilityEquity_DisAdvantageZone_0___Auto Accessibility Peak</t>
  </si>
  <si>
    <t>ABM_JobAccessibilityEquity_DisAdvantageZone_1___Auto Accessibility Peak</t>
  </si>
  <si>
    <t>ABM_JobAccessibilityEquity_DisAdvantageZone_0___Auto Accessibility Off Peak within 30 Minutes</t>
  </si>
  <si>
    <t>ABM_JobAccessibilityEquity_DisAdvantageZone_1___Auto Accessibility Off Peak within 30 Minutes</t>
  </si>
  <si>
    <t>ABM_JobAccessibilityEquity_DisAdvantageZone_0___Auto Accessibility Peak within 30 Minutes</t>
  </si>
  <si>
    <t>ABM_JobAccessibilityEquity_DisAdvantageZone_1___Auto Accessibility Peak within 30 Minutes</t>
  </si>
  <si>
    <t>ABM_JobAccessibilityEquity_DisAdvantageZone_0___Transit Accessibility Off Peak</t>
  </si>
  <si>
    <t>ABM_JobAccessibilityEquity_DisAdvantageZone_1___Transit Accessibility Off Peak</t>
  </si>
  <si>
    <t>ABM_JobAccessibilityEquity_DisAdvantageZone_0___Transit Accessibility Peak</t>
  </si>
  <si>
    <t>ABM_JobAccessibilityEquity_DisAdvantageZone_1___Transit Accessibility Peak</t>
  </si>
  <si>
    <t>ABM_JobAccessibilityEquity_DisAdvantageZone_0___Transit Accessibility Off Peak within 45 Minutes</t>
  </si>
  <si>
    <t>ABM_JobAccessibilityEquity_DisAdvantageZone_1___Transit Accessibility Off Peak within 45 Minutes</t>
  </si>
  <si>
    <t>ABM_JobAccessibilityEquity_DisAdvantageZone_0___Transit Accessibility Peak within 45 Minutes</t>
  </si>
  <si>
    <t>ABM_JobAccessibilityEquity_DisAdvantageZone_1___Transit Accessibility Peak within 45 Minutes</t>
  </si>
  <si>
    <t>ABM_JobAccessibilityEquity_DisAdvantageZone_0___Transit Accessibility Off Peak within 60 Minutes</t>
  </si>
  <si>
    <t>ABM_JobAccessibilityEquity_DisAdvantageZone_1___Transit Accessibility Off Peak within 60 Minutes</t>
  </si>
  <si>
    <t>ABM_JobAccessibilityEquity_DisAdvantageZone_0___Transit Accessibility Peak within 60 Minutes</t>
  </si>
  <si>
    <t>ABM_JobAccessibilityEquity_DisAdvantageZone_1___Transit Accessibility Peak within 60 Minutes</t>
  </si>
  <si>
    <t>ABM_JobAccessibilityEquity_DisAdvantageZone_0___Transit Accessibility Off Peak within 90 Minutes</t>
  </si>
  <si>
    <t>ABM_JobAccessibilityEquity_DisAdvantageZone_1___Transit Accessibility Off Peak within 90 Minutes</t>
  </si>
  <si>
    <t>ABM_JobAccessibilityEquity_DisAdvantageZone_0___Transit Accessibility Peak within 90 Minutes</t>
  </si>
  <si>
    <t>ABM_JobAccessibilityEquity_DisAdvantageZone_1___Transit Accessibility Peak within 90 Minutes</t>
  </si>
  <si>
    <t>ABM_BasicNeedAccessibilityEquity_DisAdvantageZone_0___Auto Accessibility Off Peak</t>
  </si>
  <si>
    <t>ABM_BasicNeedAccessibilityEquity_DisAdvantageZone_1___Auto Accessibility Off Peak</t>
  </si>
  <si>
    <t>ABM_BasicNeedAccessibilityEquity_DisAdvantageZone_0___Auto Accessibility Peak</t>
  </si>
  <si>
    <t>ABM_BasicNeedAccessibilityEquity_DisAdvantageZone_1___Auto Accessibility Peak</t>
  </si>
  <si>
    <t>ABM_BasicNeedAccessibilityEquity_DisAdvantageZone_0___Auto Accessibility Off Peak within 30 Minutes</t>
  </si>
  <si>
    <t>ABM_BasicNeedAccessibilityEquity_DisAdvantageZone_1___Auto Accessibility Off Peak within 30 Minutes</t>
  </si>
  <si>
    <t>ABM_BasicNeedAccessibilityEquity_DisAdvantageZone_0___Auto Accessibility Peak within 30 Minutes</t>
  </si>
  <si>
    <t>ABM_BasicNeedAccessibilityEquity_DisAdvantageZone_1___Auto Accessibility Peak within 30 Minutes</t>
  </si>
  <si>
    <t>ABM_BasicNeedAccessibilityEquity_DisAdvantageZone_0___Transit Accessibility Off Peak</t>
  </si>
  <si>
    <t>ABM_BasicNeedAccessibilityEquity_DisAdvantageZone_1___Transit Accessibility Off Peak</t>
  </si>
  <si>
    <t>ABM_BasicNeedAccessibilityEquity_DisAdvantageZone_0___Transit Accessibility Peak</t>
  </si>
  <si>
    <t>ABM_BasicNeedAccessibilityEquity_DisAdvantageZone_1___Transit Accessibility Peak</t>
  </si>
  <si>
    <t>ABM_BasicNeedAccessibilityEquity_DisAdvantageZone_0___Transit Accessibility Off Peak within 45 Minutes</t>
  </si>
  <si>
    <t>ABM_BasicNeedAccessibilityEquity_DisAdvantageZone_1___Transit Accessibility Off Peak within 45 Minutes</t>
  </si>
  <si>
    <t>ABM_BasicNeedAccessibilityEquity_DisAdvantageZone_0___Transit Accessibility Peak within 45 Minutes</t>
  </si>
  <si>
    <t>ABM_BasicNeedAccessibilityEquity_DisAdvantageZone_1___Transit Accessibility Peak within 45 Minutes</t>
  </si>
  <si>
    <t>ABM_BasicNeedAccessibilityEquity_DisAdvantageZone_0___Transit Accessibility Off Peak within 60 Minutes</t>
  </si>
  <si>
    <t>ABM_BasicNeedAccessibilityEquity_DisAdvantageZone_1___Transit Accessibility Off Peak within 60 Minutes</t>
  </si>
  <si>
    <t>ABM_BasicNeedAccessibilityEquity_DisAdvantageZone_0___Transit Accessibility Peak within 60 Minutes</t>
  </si>
  <si>
    <t>ABM_BasicNeedAccessibilityEquity_DisAdvantageZone_1___Transit Accessibility Peak within 60 Minutes</t>
  </si>
  <si>
    <t>ABM_BasicNeedAccessibilityEquity_DisAdvantageZone_0___Transit Accessibility Off Peak within 90 Minutes</t>
  </si>
  <si>
    <t>ABM_BasicNeedAccessibilityEquity_DisAdvantageZone_1___Transit Accessibility Off Peak within 90 Minutes</t>
  </si>
  <si>
    <t>ABM_BasicNeedAccessibilityEquity_DisAdvantageZone_0___Transit Accessibility Peak within 90 Minutes</t>
  </si>
  <si>
    <t>ABM_BasicNeedAccessibilityEquity_DisAdvantageZone_1___Transit Accessibility Peak within 90 Minutes</t>
  </si>
  <si>
    <t>ABM_Disadvantage Zone Work to Home Commute Time_Mode_Taxi_Disadvantage Zone_0_CommuteTime</t>
  </si>
  <si>
    <t>ABM_Average Commute Time by Mode by Income Quartile_Mode_Taxi_Income Quartile_Q3_Commute Time</t>
  </si>
  <si>
    <t>ABM_Average Commute Distance by Mode by Income Quartile_Mode_Taxi_Income Quartile_Q3_Commute Distance</t>
  </si>
  <si>
    <t>ABM_CommuteTime_Mode_SchoolBus___CommuteTime</t>
  </si>
  <si>
    <t>Disadvantage Zone Home to Work Commute Time by Auto 0</t>
  </si>
  <si>
    <t>Disadvantage Zone Home to Work Commute Time by Auto 1</t>
  </si>
  <si>
    <t>Disadvantage Zone Home to Work Commute Time by Bike 0</t>
  </si>
  <si>
    <t>Disadvantage Zone Home to Work Commute Time by Bike 1</t>
  </si>
  <si>
    <t>Disadvantage Zone Home to Work Commute Time by Taxi 0</t>
  </si>
  <si>
    <t>Disadvantage Zone Home to Work Commute Time by Taxi 1</t>
  </si>
  <si>
    <t>Disadvantage Zone Home to Work Commute Time by Transit 0</t>
  </si>
  <si>
    <t>Disadvantage Zone Home to Work Commute Time by Transit 1</t>
  </si>
  <si>
    <t>Disadvantage Zone Home to Work Commute Time by Walk 0</t>
  </si>
  <si>
    <t>Disadvantage Zone Home to Work Commute Time by Walk 1</t>
  </si>
  <si>
    <t>Disadvantage Zone Work to Home Commute Time by Auto 0</t>
  </si>
  <si>
    <t>Disadvantage Zone Work to Home Commute Time by Auto 1</t>
  </si>
  <si>
    <t>Disadvantage Zone Work to Home Commute Time by Bike 0</t>
  </si>
  <si>
    <t>Disadvantage Zone Work to Home Commute Time by Bike 1</t>
  </si>
  <si>
    <t>Disadvantage Zone Work to Home Commute Time by Taxi 0</t>
  </si>
  <si>
    <t>Disadvantage Zone Work to Home Commute Time by Taxi 1</t>
  </si>
  <si>
    <t>Disadvantage Zone Work to Home Commute Time by Transit 0</t>
  </si>
  <si>
    <t>Disadvantage Zone Work to Home Commute Time by Transit 1</t>
  </si>
  <si>
    <t>Disadvantage Zone Work to Home Commute Time by Walk 0</t>
  </si>
  <si>
    <t>Disadvantage Zone Work to Home Commute Time by Walk 1</t>
  </si>
  <si>
    <t>Disadvantage Zone Average Travel Time per Household by Auto 0</t>
  </si>
  <si>
    <t>Disadvantage Zone Average Travel Time per Household by Bike 0</t>
  </si>
  <si>
    <t>Disadvantage Zone Average Travel Time per Household by SchoolBus 0</t>
  </si>
  <si>
    <t>Disadvantage Zone Average Travel Time per Household by Taxi 0</t>
  </si>
  <si>
    <t>Disadvantage Zone Average Travel Time per Household by Transit 0</t>
  </si>
  <si>
    <t>Disadvantage Zone Average Travel Time per Household by Walk 0</t>
  </si>
  <si>
    <t>Disadvantage Zone Average Travel Time per Household by Auto 1</t>
  </si>
  <si>
    <t>Disadvantage Zone Average Travel Time per Household by Bike 1</t>
  </si>
  <si>
    <t>Disadvantage Zone Average Travel Time per Household by SchoolBus 1</t>
  </si>
  <si>
    <t>Disadvantage Zone Average Travel Time per Household by Taxi 1</t>
  </si>
  <si>
    <t>Disadvantage Zone Average Travel Time per Household by Transit 1</t>
  </si>
  <si>
    <t>Disadvantage Zone Average Travel Time per Household by Walk 1</t>
  </si>
  <si>
    <t>Disadvantage Zone Average Travel Time per Person by Auto 0</t>
  </si>
  <si>
    <t>Disadvantage Zone Average Travel Time per Person by Bike 0</t>
  </si>
  <si>
    <t>Disadvantage Zone Average Travel Time per Person by SchoolBus 0</t>
  </si>
  <si>
    <t>Disadvantage Zone Average Travel Time per Person by Taxi 0</t>
  </si>
  <si>
    <t>Disadvantage Zone Average Travel Time per Person by Transit 0</t>
  </si>
  <si>
    <t>Disadvantage Zone Average Travel Time per Person by Walk 0</t>
  </si>
  <si>
    <t>Disadvantage Zone Average Travel Time per Person by Auto 1</t>
  </si>
  <si>
    <t>Disadvantage Zone Average Travel Time per Person by Bike 1</t>
  </si>
  <si>
    <t>Disadvantage Zone Average Travel Time per Person by SchoolBus 1</t>
  </si>
  <si>
    <t>Disadvantage Zone Average Travel Time per Person by Taxi 1</t>
  </si>
  <si>
    <t>Disadvantage Zone Average Travel Time per Person by Transit 1</t>
  </si>
  <si>
    <t>Disadvantage Zone Average Travel Time per Person by Walk 1</t>
  </si>
  <si>
    <t>Disadvantage Zone Average Travel Distance per Household by Auto 0</t>
  </si>
  <si>
    <t>Disadvantage Zone Average Travel Distance per Household by Bike 0</t>
  </si>
  <si>
    <t>Disadvantage Zone Average Travel Distance per Household by SchoolBus 0</t>
  </si>
  <si>
    <t>Disadvantage Zone Average Travel Distance per Household by Taxi 0</t>
  </si>
  <si>
    <t>Disadvantage Zone Average Travel Distance per Household by Transit 0</t>
  </si>
  <si>
    <t>Disadvantage Zone Average Travel Distance per Household by Walk 0</t>
  </si>
  <si>
    <t>Disadvantage Zone Average Travel Distance per Household by Auto 1</t>
  </si>
  <si>
    <t>Disadvantage Zone Average Travel Distance per Household by Bike 1</t>
  </si>
  <si>
    <t>Disadvantage Zone Average Travel Distance per Household by SchoolBus 1</t>
  </si>
  <si>
    <t>Disadvantage Zone Average Travel Distance per Household by Taxi 1</t>
  </si>
  <si>
    <t>Disadvantage Zone Average Travel Distance per Household by Transit 1</t>
  </si>
  <si>
    <t>Disadvantage Zone Average Travel Distance per Household by Walk 1</t>
  </si>
  <si>
    <t>Disadvantage Zone Average Travel Distance per Person by Auto 0</t>
  </si>
  <si>
    <t>Disadvantage Zone Average Travel Distance per Person by Bike 0</t>
  </si>
  <si>
    <t>Disadvantage Zone Average Travel Distance per Person by SchoolBus 0</t>
  </si>
  <si>
    <t>Disadvantage Zone Average Travel Distance per Person by Taxi 0</t>
  </si>
  <si>
    <t>Disadvantage Zone Average Travel Distance per Person by Transit 0</t>
  </si>
  <si>
    <t>Disadvantage Zone Average Travel Distance per Person by Walk 0</t>
  </si>
  <si>
    <t>Disadvantage Zone Average Travel Distance per Person by Auto 1</t>
  </si>
  <si>
    <t>Disadvantage Zone Average Travel Distance per Person by Bike 1</t>
  </si>
  <si>
    <t>Disadvantage Zone Average Travel Distance per Person by SchoolBus 1</t>
  </si>
  <si>
    <t>Disadvantage Zone Average Travel Distance per Person by Taxi 1</t>
  </si>
  <si>
    <t>Disadvantage Zone Average Travel Distance per Person by Transit 1</t>
  </si>
  <si>
    <t>Disadvantage Zone Average Travel Distance per Person by Walk 1</t>
  </si>
  <si>
    <t>Average Commute Time by Auto of Income Quartile 1</t>
  </si>
  <si>
    <t>Average Commute Time by Bike of Income Quartile 1</t>
  </si>
  <si>
    <t>Average Commute Time by Taxi of Income Quartile 1</t>
  </si>
  <si>
    <t>Average Commute Time by Transit of Income Quartile 1</t>
  </si>
  <si>
    <t>Average Commute Time by Walk of Income Quartile 1</t>
  </si>
  <si>
    <t>Average Commute Time by Auto of Income Quartile 2</t>
  </si>
  <si>
    <t>Average Commute Time by Bike of Income Quartile 2</t>
  </si>
  <si>
    <t>Average Commute Time by Taxi of Income Quartile 2</t>
  </si>
  <si>
    <t>Average Commute Time by Transit of Income Quartile 2</t>
  </si>
  <si>
    <t>Average Commute Time by Walk of Income Quartile 2</t>
  </si>
  <si>
    <t>Average Commute Time by Auto of Income Quartile 3</t>
  </si>
  <si>
    <t>Average Commute Time by Bike of Income Quartile 3</t>
  </si>
  <si>
    <t>Average Commute Time by Taxi of Income Quartile 3</t>
  </si>
  <si>
    <t>Average Commute Time by Transit of Income Quartile 3</t>
  </si>
  <si>
    <t>Average Commute Time by Walk of Income Quartile 3</t>
  </si>
  <si>
    <t>Average Commute Time by Auto of Income Quartile 4</t>
  </si>
  <si>
    <t>Average Commute Time by Bike of Income Quartile 4</t>
  </si>
  <si>
    <t>Average Commute Time by Taxi of Income Quartile 4</t>
  </si>
  <si>
    <t>Average Commute Time by Transit of Income Quartile 4</t>
  </si>
  <si>
    <t>Average Commute Time by Walk of Income Quartile 4</t>
  </si>
  <si>
    <t>Average Commute Distance by Auto of Income Quartile 1</t>
  </si>
  <si>
    <t>Average Commute Distance by Bike of Income Quartile 1</t>
  </si>
  <si>
    <t>Average Commute Distance by Taxi of Income Quartile 1</t>
  </si>
  <si>
    <t>Average Commute Distance by Transit of Income Quartile 1</t>
  </si>
  <si>
    <t>Average Commute Distance by Walk of Income Quartile 1</t>
  </si>
  <si>
    <t>Average Commute Distance by Auto of Income Quartile 2</t>
  </si>
  <si>
    <t>Average Commute Distance by Bike of Income Quartile 2</t>
  </si>
  <si>
    <t>Average Commute Distance by Taxi of Income Quartile 2</t>
  </si>
  <si>
    <t>Average Commute Distance by Transit of Income Quartile 2</t>
  </si>
  <si>
    <t>Average Commute Distance by Walk of Income Quartile 2</t>
  </si>
  <si>
    <t>Average Commute Distance by Auto of Income Quartile 3</t>
  </si>
  <si>
    <t>Average Commute Distance by Bike of Income Quartile 3</t>
  </si>
  <si>
    <t>Average Commute Distance by Taxi of Income Quartile 3</t>
  </si>
  <si>
    <t>Average Commute Distance by Transit of Income Quartile 3</t>
  </si>
  <si>
    <t>Average Commute Distance by Walk of Income Quartile 3</t>
  </si>
  <si>
    <t>Average Commute Distance by Auto of Income Quartile 4</t>
  </si>
  <si>
    <t>Average Commute Distance by Bike of Income Quartile 4</t>
  </si>
  <si>
    <t>Average Commute Distance by Taxi of Income Quartile 4</t>
  </si>
  <si>
    <t>Average Commute Distance by Transit of Income Quartile 4</t>
  </si>
  <si>
    <t>Average Commute Distance by Walk of Income Quartile 4</t>
  </si>
  <si>
    <t>Disadvantage Zone Auto Accessibility Off Peak for Jobs 0</t>
  </si>
  <si>
    <t>Disadvantage Zone Auto Accessibility Off Peak for Jobs 1</t>
  </si>
  <si>
    <t>Disadvantage Zone Auto Accessibility Peak for Jobs 0</t>
  </si>
  <si>
    <t>Disadvantage Zone Auto Accessibility Peak for Jobs 1</t>
  </si>
  <si>
    <t>Disadvantage Zone Auto Accessibility Off Peak within 30 Minutes for Jobs 0</t>
  </si>
  <si>
    <t>Disadvantage Zone Auto Accessibility Off Peak within 30 Minutes for Jobs 1</t>
  </si>
  <si>
    <t>Disadvantage Zone Auto Accessibility Peak within 30 Minutes for Jobs 0</t>
  </si>
  <si>
    <t>Disadvantage Zone Auto Accessibility Peak within 30 Minutes for Jobs 1</t>
  </si>
  <si>
    <t>Disadvantage Zone Transit Accessibility Off Peak for Jobs 0</t>
  </si>
  <si>
    <t>Disadvantage Zone Transit Accessibility Off Peak for Jobs 1</t>
  </si>
  <si>
    <t>Disadvantage Zone Transit Accessibility Peak for Jobs 0</t>
  </si>
  <si>
    <t>Disadvantage Zone Transit Accessibility Peak for Jobs 1</t>
  </si>
  <si>
    <t>Disadvantage Zone Transit Accessibility Off Peak within 45 Minutes for Jobs 0</t>
  </si>
  <si>
    <t>Disadvantage Zone Transit Accessibility Off Peak within 45 Minutes for Jobs 1</t>
  </si>
  <si>
    <t>Disadvantage Zone Transit Accessibility Peak within 45 Minutes for Jobs 0</t>
  </si>
  <si>
    <t>Disadvantage Zone Transit Accessibility Peak within 45 Minutes for Jobs 1</t>
  </si>
  <si>
    <t>Disadvantage Zone Transit Accessibility Off Peak within 60 Minutes for Jobs 0</t>
  </si>
  <si>
    <t>Disadvantage Zone Transit Accessibility Off Peak within 60 Minutes for Jobs 1</t>
  </si>
  <si>
    <t>Disadvantage Zone Transit Accessibility Peak within 60 Minutes for Jobs 0</t>
  </si>
  <si>
    <t>Disadvantage Zone Transit Accessibility Peak within 60 Minutes for Jobs 1</t>
  </si>
  <si>
    <t>Disadvantage Zone Transit Accessibility Off Peak within 90 Minutes for Jobs 0</t>
  </si>
  <si>
    <t>Disadvantage Zone Transit Accessibility Off Peak within 90 Minutes for Jobs 1</t>
  </si>
  <si>
    <t>Disadvantage Zone Transit Accessibility Peak within 90 Minutes for Jobs 0</t>
  </si>
  <si>
    <t>Disadvantage Zone Transit Accessibility Peak within 90 Minutes for Jobs 1</t>
  </si>
  <si>
    <t>Disadvantage Zone Auto Accessibility Off Peak for Basic Needs 0</t>
  </si>
  <si>
    <t>Disadvantage Zone Auto Accessibility Off Peak for Basic Needs 1</t>
  </si>
  <si>
    <t>Disadvantage Zone Auto Accessibility Peak for Basic Needs 0</t>
  </si>
  <si>
    <t>Disadvantage Zone Auto Accessibility Peak for Basic Needs 1</t>
  </si>
  <si>
    <t>Disadvantage Zone Auto Accessibility Off Peak within 30 Minutes for Basic Needs 0</t>
  </si>
  <si>
    <t>Disadvantage Zone Auto Accessibility Off Peak within 30 Minutes for Basic Needs 1</t>
  </si>
  <si>
    <t>Disadvantage Zone Auto Accessibility Peak within 30 Minutes for Basic Needs 0</t>
  </si>
  <si>
    <t>Disadvantage Zone Auto Accessibility Peak within 30 Minutes for Basic Needs 1</t>
  </si>
  <si>
    <t>Disadvantage Zone Transit Accessibility Off Peak for Basic Needs 0</t>
  </si>
  <si>
    <t>Disadvantage Zone Transit Accessibility Off Peak for Basic Needs 1</t>
  </si>
  <si>
    <t>Disadvantage Zone Transit Accessibility Peak for Basic Needs 0</t>
  </si>
  <si>
    <t>Disadvantage Zone Transit Accessibility Peak for Basic Needs 1</t>
  </si>
  <si>
    <t>Disadvantage Zone Transit Accessibility Off Peak within 45 Minutes for Basic Needs 0</t>
  </si>
  <si>
    <t>Disadvantage Zone Transit Accessibility Off Peak within 45 Minutes for Basic Needs 1</t>
  </si>
  <si>
    <t>Disadvantage Zone Transit Accessibility Peak within 45 Minutes for Basic Needs 0</t>
  </si>
  <si>
    <t>Disadvantage Zone Transit Accessibility Peak within 45 Minutes for Basic Needs 1</t>
  </si>
  <si>
    <t>Disadvantage Zone Transit Accessibility Off Peak within 60 Minutes for Basic Needs 0</t>
  </si>
  <si>
    <t>Disadvantage Zone Transit Accessibility Off Peak within 60 Minutes for Basic Needs 1</t>
  </si>
  <si>
    <t>Disadvantage Zone Transit Accessibility Peak within 60 Minutes for Basic Needs 0</t>
  </si>
  <si>
    <t>Disadvantage Zone Transit Accessibility Peak within 60 Minutes for Basic Needs 1</t>
  </si>
  <si>
    <t>Disadvantage Zone Transit Accessibility Off Peak within 90 Minutes for Basic Needs 0</t>
  </si>
  <si>
    <t>Disadvantage Zone Transit Accessibility Off Peak within 90 Minutes for Basic Needs 1</t>
  </si>
  <si>
    <t>Disadvantage Zone Transit Accessibility Peak within 90 Minutes for Basic Needs 0</t>
  </si>
  <si>
    <t>Disadvantage Zone Transit Accessibility Peak within 90 Minutes for Basic Needs 1</t>
  </si>
  <si>
    <t>FinalPriority</t>
  </si>
  <si>
    <t>Y1</t>
  </si>
  <si>
    <t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</si>
</sst>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43" fontId="0" fillId="0" borderId="0" xfId="1" applyFont="1"/>
    <xf numFmtId="43" fontId="0" fillId="33" borderId="0" xfId="1" applyFont="1" applyFill="1"/>
    <xf numFmtId="43" fontId="14" fillId="0" borderId="0" xfId="1" applyFont="1"/>
    <xf numFmtId="0" fontId="0" fillId="0" borderId="0" xfId="0" quotePrefix="1"/>
    <xf numFmtId="0" fontId="16" fillId="0" borderId="0" xfId="0" applyFont="1"/>
    <xf numFmtId="0" fontId="0" fillId="34" borderId="0" xfId="0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8CA8D-826A-4E2F-A2A8-BF522389FD0C}">
  <dimension ref="A1:O254"/>
  <sheetViews>
    <sheetView topLeftCell="B1" workbookViewId="0">
      <selection activeCell="N27" sqref="N27"/>
    </sheetView>
  </sheetViews>
  <sheetFormatPr defaultRowHeight="15" x14ac:dyDescent="0.25"/>
  <cols>
    <col min="3" max="3" width="46.7109375" bestFit="1" customWidth="1"/>
    <col min="4" max="4" width="16.28515625" bestFit="1" customWidth="1"/>
    <col min="5" max="5" width="16" bestFit="1" customWidth="1"/>
    <col min="6" max="6" width="16.5703125" bestFit="1" customWidth="1"/>
    <col min="7" max="7" width="13.42578125" customWidth="1"/>
    <col min="9" max="9" width="49.5703125" bestFit="1" customWidth="1"/>
    <col min="10" max="10" width="15.85546875" style="2" bestFit="1" customWidth="1"/>
    <col min="11" max="11" width="66.7109375" bestFit="1" customWidth="1"/>
    <col min="12" max="12" width="9.85546875" customWidth="1"/>
  </cols>
  <sheetData>
    <row r="1" spans="1:15" x14ac:dyDescent="0.25">
      <c r="A1" t="s">
        <v>189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2" t="s">
        <v>8</v>
      </c>
      <c r="K1" t="s">
        <v>9</v>
      </c>
      <c r="L1" t="s">
        <v>181</v>
      </c>
      <c r="O1" t="s">
        <v>193</v>
      </c>
    </row>
    <row r="2" spans="1:15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H2" t="s">
        <v>14</v>
      </c>
      <c r="I2" t="s">
        <v>15</v>
      </c>
      <c r="J2" s="2">
        <v>3708509</v>
      </c>
      <c r="K2" t="s">
        <v>16</v>
      </c>
      <c r="O2" t="s">
        <v>194</v>
      </c>
    </row>
    <row r="3" spans="1:15" x14ac:dyDescent="0.25">
      <c r="A3">
        <v>2</v>
      </c>
      <c r="B3" t="s">
        <v>10</v>
      </c>
      <c r="C3" t="s">
        <v>11</v>
      </c>
      <c r="D3" t="s">
        <v>12</v>
      </c>
      <c r="E3" t="s">
        <v>17</v>
      </c>
      <c r="H3" t="s">
        <v>14</v>
      </c>
      <c r="I3" t="s">
        <v>15</v>
      </c>
      <c r="J3" s="2">
        <v>67602</v>
      </c>
      <c r="K3" t="s">
        <v>18</v>
      </c>
      <c r="O3" t="s">
        <v>195</v>
      </c>
    </row>
    <row r="4" spans="1:15" x14ac:dyDescent="0.25">
      <c r="A4">
        <v>3</v>
      </c>
      <c r="B4" t="s">
        <v>10</v>
      </c>
      <c r="C4" t="s">
        <v>11</v>
      </c>
      <c r="D4" t="s">
        <v>12</v>
      </c>
      <c r="E4" t="s">
        <v>19</v>
      </c>
      <c r="H4" t="s">
        <v>14</v>
      </c>
      <c r="I4" t="s">
        <v>15</v>
      </c>
      <c r="J4" s="2">
        <v>67976</v>
      </c>
      <c r="K4" t="s">
        <v>192</v>
      </c>
      <c r="O4" t="s">
        <v>196</v>
      </c>
    </row>
    <row r="5" spans="1:15" x14ac:dyDescent="0.25">
      <c r="A5">
        <v>4</v>
      </c>
      <c r="B5" t="s">
        <v>10</v>
      </c>
      <c r="C5" t="s">
        <v>11</v>
      </c>
      <c r="D5" t="s">
        <v>12</v>
      </c>
      <c r="E5" t="s">
        <v>20</v>
      </c>
      <c r="H5" t="s">
        <v>14</v>
      </c>
      <c r="I5" t="s">
        <v>15</v>
      </c>
      <c r="J5" s="2">
        <v>4371</v>
      </c>
      <c r="K5" t="s">
        <v>21</v>
      </c>
      <c r="O5" t="s">
        <v>197</v>
      </c>
    </row>
    <row r="6" spans="1:15" x14ac:dyDescent="0.25">
      <c r="A6">
        <v>5</v>
      </c>
      <c r="B6" t="s">
        <v>10</v>
      </c>
      <c r="C6" t="s">
        <v>11</v>
      </c>
      <c r="D6" t="s">
        <v>12</v>
      </c>
      <c r="E6" t="s">
        <v>22</v>
      </c>
      <c r="H6" t="s">
        <v>14</v>
      </c>
      <c r="I6" t="s">
        <v>15</v>
      </c>
      <c r="J6" s="2">
        <v>34047</v>
      </c>
      <c r="K6" t="s">
        <v>23</v>
      </c>
      <c r="O6" t="s">
        <v>198</v>
      </c>
    </row>
    <row r="7" spans="1:15" x14ac:dyDescent="0.25">
      <c r="A7">
        <v>6</v>
      </c>
      <c r="B7" t="s">
        <v>10</v>
      </c>
      <c r="C7" t="s">
        <v>11</v>
      </c>
      <c r="D7" t="s">
        <v>12</v>
      </c>
      <c r="E7" t="s">
        <v>24</v>
      </c>
      <c r="H7" t="s">
        <v>14</v>
      </c>
      <c r="I7" t="s">
        <v>15</v>
      </c>
      <c r="J7" s="2">
        <v>483026</v>
      </c>
      <c r="K7" t="s">
        <v>25</v>
      </c>
      <c r="O7" t="s">
        <v>199</v>
      </c>
    </row>
    <row r="8" spans="1:15" x14ac:dyDescent="0.25">
      <c r="A8">
        <v>7</v>
      </c>
      <c r="B8" t="s">
        <v>10</v>
      </c>
      <c r="C8" t="s">
        <v>11</v>
      </c>
      <c r="D8" t="s">
        <v>12</v>
      </c>
      <c r="E8" t="s">
        <v>13</v>
      </c>
      <c r="H8" t="s">
        <v>14</v>
      </c>
      <c r="I8" t="s">
        <v>26</v>
      </c>
      <c r="J8" s="2">
        <v>0.84949780450533996</v>
      </c>
      <c r="K8" t="s">
        <v>27</v>
      </c>
      <c r="O8" t="s">
        <v>200</v>
      </c>
    </row>
    <row r="9" spans="1:15" x14ac:dyDescent="0.25">
      <c r="A9">
        <v>8</v>
      </c>
      <c r="B9" t="s">
        <v>10</v>
      </c>
      <c r="C9" t="s">
        <v>11</v>
      </c>
      <c r="D9" t="s">
        <v>12</v>
      </c>
      <c r="E9" t="s">
        <v>17</v>
      </c>
      <c r="H9" t="s">
        <v>14</v>
      </c>
      <c r="I9" t="s">
        <v>26</v>
      </c>
      <c r="J9" s="2">
        <v>1.5485401432265599E-2</v>
      </c>
      <c r="K9" t="s">
        <v>28</v>
      </c>
      <c r="O9" t="s">
        <v>201</v>
      </c>
    </row>
    <row r="10" spans="1:15" x14ac:dyDescent="0.25">
      <c r="A10">
        <v>9</v>
      </c>
      <c r="B10" t="s">
        <v>10</v>
      </c>
      <c r="C10" t="s">
        <v>11</v>
      </c>
      <c r="D10" t="s">
        <v>12</v>
      </c>
      <c r="E10" t="s">
        <v>19</v>
      </c>
      <c r="H10" t="s">
        <v>14</v>
      </c>
      <c r="I10" t="s">
        <v>26</v>
      </c>
      <c r="J10" s="2">
        <v>1.55710725682626E-2</v>
      </c>
      <c r="K10" t="s">
        <v>191</v>
      </c>
      <c r="O10" t="s">
        <v>202</v>
      </c>
    </row>
    <row r="11" spans="1:15" x14ac:dyDescent="0.25">
      <c r="A11">
        <v>10</v>
      </c>
      <c r="B11" t="s">
        <v>10</v>
      </c>
      <c r="C11" t="s">
        <v>11</v>
      </c>
      <c r="D11" t="s">
        <v>12</v>
      </c>
      <c r="E11" t="s">
        <v>20</v>
      </c>
      <c r="H11" t="s">
        <v>14</v>
      </c>
      <c r="I11" t="s">
        <v>26</v>
      </c>
      <c r="J11" s="2">
        <v>1.00125276856355E-3</v>
      </c>
      <c r="K11" t="s">
        <v>29</v>
      </c>
      <c r="O11" t="s">
        <v>203</v>
      </c>
    </row>
    <row r="12" spans="1:15" x14ac:dyDescent="0.25">
      <c r="A12">
        <v>11</v>
      </c>
      <c r="B12" t="s">
        <v>10</v>
      </c>
      <c r="C12" t="s">
        <v>11</v>
      </c>
      <c r="D12" t="s">
        <v>12</v>
      </c>
      <c r="E12" t="s">
        <v>22</v>
      </c>
      <c r="H12" t="s">
        <v>14</v>
      </c>
      <c r="I12" t="s">
        <v>26</v>
      </c>
      <c r="J12" s="2">
        <v>7.7990512494356401E-3</v>
      </c>
      <c r="K12" t="s">
        <v>30</v>
      </c>
      <c r="L12" t="s">
        <v>182</v>
      </c>
      <c r="O12" t="s">
        <v>204</v>
      </c>
    </row>
    <row r="13" spans="1:15" x14ac:dyDescent="0.25">
      <c r="A13">
        <v>12</v>
      </c>
      <c r="B13" t="s">
        <v>10</v>
      </c>
      <c r="C13" t="s">
        <v>11</v>
      </c>
      <c r="D13" t="s">
        <v>12</v>
      </c>
      <c r="E13" t="s">
        <v>24</v>
      </c>
      <c r="H13" t="s">
        <v>14</v>
      </c>
      <c r="I13" t="s">
        <v>26</v>
      </c>
      <c r="J13" s="2">
        <v>0.110645417476133</v>
      </c>
      <c r="K13" t="s">
        <v>31</v>
      </c>
      <c r="L13" t="s">
        <v>182</v>
      </c>
      <c r="O13" t="s">
        <v>205</v>
      </c>
    </row>
    <row r="14" spans="1:15" x14ac:dyDescent="0.25">
      <c r="A14">
        <v>13</v>
      </c>
      <c r="B14" t="s">
        <v>10</v>
      </c>
      <c r="C14" t="s">
        <v>32</v>
      </c>
      <c r="D14" t="s">
        <v>12</v>
      </c>
      <c r="E14" t="s">
        <v>13</v>
      </c>
      <c r="H14" t="s">
        <v>14</v>
      </c>
      <c r="I14" t="s">
        <v>33</v>
      </c>
      <c r="J14" s="2">
        <v>18394972.149999999</v>
      </c>
      <c r="K14" t="s">
        <v>34</v>
      </c>
      <c r="O14" t="s">
        <v>206</v>
      </c>
    </row>
    <row r="15" spans="1:15" x14ac:dyDescent="0.25">
      <c r="A15">
        <v>14</v>
      </c>
      <c r="B15" t="s">
        <v>10</v>
      </c>
      <c r="C15" t="s">
        <v>32</v>
      </c>
      <c r="D15" t="s">
        <v>12</v>
      </c>
      <c r="E15" t="s">
        <v>17</v>
      </c>
      <c r="H15" t="s">
        <v>14</v>
      </c>
      <c r="I15" t="s">
        <v>33</v>
      </c>
      <c r="J15" s="2">
        <v>183398.35</v>
      </c>
      <c r="K15" t="s">
        <v>35</v>
      </c>
      <c r="O15" t="s">
        <v>207</v>
      </c>
    </row>
    <row r="16" spans="1:15" x14ac:dyDescent="0.25">
      <c r="A16">
        <v>15</v>
      </c>
      <c r="B16" t="s">
        <v>10</v>
      </c>
      <c r="C16" t="s">
        <v>32</v>
      </c>
      <c r="D16" t="s">
        <v>12</v>
      </c>
      <c r="E16" t="s">
        <v>19</v>
      </c>
      <c r="H16" t="s">
        <v>14</v>
      </c>
      <c r="I16" t="s">
        <v>33</v>
      </c>
      <c r="J16" s="2">
        <v>421424.38</v>
      </c>
      <c r="K16" t="s">
        <v>36</v>
      </c>
      <c r="O16" t="s">
        <v>208</v>
      </c>
    </row>
    <row r="17" spans="1:15" x14ac:dyDescent="0.25">
      <c r="A17">
        <v>16</v>
      </c>
      <c r="B17" t="s">
        <v>10</v>
      </c>
      <c r="C17" t="s">
        <v>32</v>
      </c>
      <c r="D17" t="s">
        <v>12</v>
      </c>
      <c r="E17" t="s">
        <v>20</v>
      </c>
      <c r="H17" t="s">
        <v>14</v>
      </c>
      <c r="I17" t="s">
        <v>33</v>
      </c>
      <c r="J17" s="2">
        <v>13162.51</v>
      </c>
      <c r="K17" t="s">
        <v>37</v>
      </c>
      <c r="O17" t="s">
        <v>209</v>
      </c>
    </row>
    <row r="18" spans="1:15" x14ac:dyDescent="0.25">
      <c r="A18">
        <v>17</v>
      </c>
      <c r="B18" t="s">
        <v>10</v>
      </c>
      <c r="C18" t="s">
        <v>32</v>
      </c>
      <c r="D18" t="s">
        <v>12</v>
      </c>
      <c r="E18" t="s">
        <v>22</v>
      </c>
      <c r="H18" t="s">
        <v>14</v>
      </c>
      <c r="I18" t="s">
        <v>33</v>
      </c>
      <c r="J18" s="2">
        <v>198807.96</v>
      </c>
      <c r="K18" t="s">
        <v>38</v>
      </c>
      <c r="O18" t="s">
        <v>210</v>
      </c>
    </row>
    <row r="19" spans="1:15" x14ac:dyDescent="0.25">
      <c r="A19">
        <v>18</v>
      </c>
      <c r="B19" t="s">
        <v>10</v>
      </c>
      <c r="C19" t="s">
        <v>32</v>
      </c>
      <c r="D19" t="s">
        <v>12</v>
      </c>
      <c r="E19" t="s">
        <v>24</v>
      </c>
      <c r="H19" t="s">
        <v>14</v>
      </c>
      <c r="I19" t="s">
        <v>33</v>
      </c>
      <c r="J19" s="2">
        <v>408048.6</v>
      </c>
      <c r="K19" t="s">
        <v>39</v>
      </c>
      <c r="O19" t="s">
        <v>211</v>
      </c>
    </row>
    <row r="20" spans="1:15" x14ac:dyDescent="0.25">
      <c r="A20">
        <v>19</v>
      </c>
      <c r="B20" t="s">
        <v>10</v>
      </c>
      <c r="C20" t="s">
        <v>32</v>
      </c>
      <c r="D20" t="s">
        <v>12</v>
      </c>
      <c r="E20" t="s">
        <v>13</v>
      </c>
      <c r="H20" t="s">
        <v>14</v>
      </c>
      <c r="I20" t="s">
        <v>40</v>
      </c>
      <c r="J20" s="2">
        <v>0.93757118170837705</v>
      </c>
      <c r="K20" t="s">
        <v>41</v>
      </c>
      <c r="O20" t="s">
        <v>212</v>
      </c>
    </row>
    <row r="21" spans="1:15" x14ac:dyDescent="0.25">
      <c r="A21">
        <v>20</v>
      </c>
      <c r="B21" t="s">
        <v>10</v>
      </c>
      <c r="C21" t="s">
        <v>32</v>
      </c>
      <c r="D21" t="s">
        <v>12</v>
      </c>
      <c r="E21" t="s">
        <v>17</v>
      </c>
      <c r="H21" t="s">
        <v>14</v>
      </c>
      <c r="I21" t="s">
        <v>40</v>
      </c>
      <c r="J21" s="2">
        <v>9.3476090276584899E-3</v>
      </c>
      <c r="K21" t="s">
        <v>42</v>
      </c>
      <c r="O21" t="s">
        <v>213</v>
      </c>
    </row>
    <row r="22" spans="1:15" x14ac:dyDescent="0.25">
      <c r="A22">
        <v>21</v>
      </c>
      <c r="B22" t="s">
        <v>10</v>
      </c>
      <c r="C22" t="s">
        <v>32</v>
      </c>
      <c r="D22" t="s">
        <v>12</v>
      </c>
      <c r="E22" t="s">
        <v>19</v>
      </c>
      <c r="H22" t="s">
        <v>14</v>
      </c>
      <c r="I22" t="s">
        <v>40</v>
      </c>
      <c r="J22" s="2">
        <v>2.1479529881067001E-2</v>
      </c>
      <c r="K22" t="s">
        <v>190</v>
      </c>
      <c r="O22" t="s">
        <v>214</v>
      </c>
    </row>
    <row r="23" spans="1:15" x14ac:dyDescent="0.25">
      <c r="A23">
        <v>22</v>
      </c>
      <c r="B23" t="s">
        <v>10</v>
      </c>
      <c r="C23" t="s">
        <v>32</v>
      </c>
      <c r="D23" t="s">
        <v>12</v>
      </c>
      <c r="E23" t="s">
        <v>20</v>
      </c>
      <c r="H23" t="s">
        <v>14</v>
      </c>
      <c r="I23" t="s">
        <v>40</v>
      </c>
      <c r="J23" s="2">
        <v>6.7087843103629397E-4</v>
      </c>
      <c r="K23" t="s">
        <v>43</v>
      </c>
      <c r="O23" t="s">
        <v>215</v>
      </c>
    </row>
    <row r="24" spans="1:15" x14ac:dyDescent="0.25">
      <c r="A24">
        <v>23</v>
      </c>
      <c r="B24" t="s">
        <v>10</v>
      </c>
      <c r="C24" t="s">
        <v>32</v>
      </c>
      <c r="D24" t="s">
        <v>12</v>
      </c>
      <c r="E24" t="s">
        <v>22</v>
      </c>
      <c r="H24" t="s">
        <v>14</v>
      </c>
      <c r="I24" t="s">
        <v>40</v>
      </c>
      <c r="J24" s="2">
        <v>1.01330196354895E-2</v>
      </c>
      <c r="K24" t="s">
        <v>44</v>
      </c>
      <c r="O24" t="s">
        <v>216</v>
      </c>
    </row>
    <row r="25" spans="1:15" x14ac:dyDescent="0.25">
      <c r="A25">
        <v>24</v>
      </c>
      <c r="B25" t="s">
        <v>10</v>
      </c>
      <c r="C25" t="s">
        <v>32</v>
      </c>
      <c r="D25" t="s">
        <v>12</v>
      </c>
      <c r="E25" t="s">
        <v>24</v>
      </c>
      <c r="H25" t="s">
        <v>14</v>
      </c>
      <c r="I25" t="s">
        <v>40</v>
      </c>
      <c r="J25" s="2">
        <v>2.0797781316371701E-2</v>
      </c>
      <c r="K25" t="s">
        <v>45</v>
      </c>
      <c r="O25" t="s">
        <v>217</v>
      </c>
    </row>
    <row r="26" spans="1:15" x14ac:dyDescent="0.25">
      <c r="A26">
        <v>25</v>
      </c>
      <c r="B26" t="s">
        <v>10</v>
      </c>
      <c r="C26" t="s">
        <v>46</v>
      </c>
      <c r="H26" t="s">
        <v>14</v>
      </c>
      <c r="I26" t="s">
        <v>46</v>
      </c>
      <c r="J26" s="2">
        <v>24173034.433568999</v>
      </c>
      <c r="K26" t="s">
        <v>47</v>
      </c>
      <c r="L26" t="s">
        <v>182</v>
      </c>
      <c r="O26" t="s">
        <v>218</v>
      </c>
    </row>
    <row r="27" spans="1:15" x14ac:dyDescent="0.25">
      <c r="A27">
        <v>26</v>
      </c>
      <c r="B27" t="s">
        <v>10</v>
      </c>
      <c r="C27" t="s">
        <v>48</v>
      </c>
      <c r="H27" t="s">
        <v>14</v>
      </c>
      <c r="I27" t="s">
        <v>48</v>
      </c>
      <c r="J27" s="2">
        <v>543052.45274600002</v>
      </c>
      <c r="K27" t="s">
        <v>49</v>
      </c>
      <c r="O27" t="s">
        <v>219</v>
      </c>
    </row>
    <row r="28" spans="1:15" x14ac:dyDescent="0.25">
      <c r="A28">
        <v>27</v>
      </c>
      <c r="B28" t="s">
        <v>10</v>
      </c>
      <c r="C28" t="s">
        <v>50</v>
      </c>
      <c r="H28" t="s">
        <v>14</v>
      </c>
      <c r="I28" t="s">
        <v>50</v>
      </c>
      <c r="J28" s="2">
        <v>2.2465216530361001E-2</v>
      </c>
      <c r="K28" t="s">
        <v>51</v>
      </c>
      <c r="O28" t="s">
        <v>220</v>
      </c>
    </row>
    <row r="29" spans="1:15" x14ac:dyDescent="0.25">
      <c r="A29">
        <v>28</v>
      </c>
      <c r="B29" t="s">
        <v>10</v>
      </c>
      <c r="C29" t="s">
        <v>46</v>
      </c>
      <c r="H29" t="s">
        <v>14</v>
      </c>
      <c r="I29" t="s">
        <v>52</v>
      </c>
      <c r="J29" s="2">
        <v>22.795803188153499</v>
      </c>
      <c r="K29" t="s">
        <v>53</v>
      </c>
      <c r="L29" t="s">
        <v>182</v>
      </c>
      <c r="O29" t="s">
        <v>221</v>
      </c>
    </row>
    <row r="30" spans="1:15" x14ac:dyDescent="0.25">
      <c r="A30">
        <v>29</v>
      </c>
      <c r="B30" t="s">
        <v>10</v>
      </c>
      <c r="C30" t="s">
        <v>54</v>
      </c>
      <c r="H30" t="s">
        <v>14</v>
      </c>
      <c r="I30" t="s">
        <v>54</v>
      </c>
      <c r="J30" s="2">
        <v>586092.651419</v>
      </c>
      <c r="K30" t="s">
        <v>55</v>
      </c>
      <c r="L30" t="s">
        <v>182</v>
      </c>
      <c r="O30" t="s">
        <v>222</v>
      </c>
    </row>
    <row r="31" spans="1:15" x14ac:dyDescent="0.25">
      <c r="A31">
        <v>30</v>
      </c>
      <c r="B31" t="s">
        <v>10</v>
      </c>
      <c r="C31" t="s">
        <v>54</v>
      </c>
      <c r="H31" t="s">
        <v>14</v>
      </c>
      <c r="I31" t="s">
        <v>56</v>
      </c>
      <c r="J31" s="2">
        <v>0.55270068672954797</v>
      </c>
      <c r="K31" t="s">
        <v>57</v>
      </c>
      <c r="L31" t="s">
        <v>182</v>
      </c>
      <c r="O31" t="s">
        <v>223</v>
      </c>
    </row>
    <row r="32" spans="1:15" x14ac:dyDescent="0.25">
      <c r="A32">
        <v>31</v>
      </c>
      <c r="B32" t="s">
        <v>10</v>
      </c>
      <c r="C32" t="s">
        <v>58</v>
      </c>
      <c r="D32" t="s">
        <v>12</v>
      </c>
      <c r="E32" t="s">
        <v>13</v>
      </c>
      <c r="H32" t="s">
        <v>14</v>
      </c>
      <c r="I32" t="s">
        <v>58</v>
      </c>
      <c r="J32" s="2">
        <v>21.5307373641112</v>
      </c>
      <c r="K32" t="s">
        <v>59</v>
      </c>
      <c r="L32" t="s">
        <v>182</v>
      </c>
      <c r="O32" t="s">
        <v>224</v>
      </c>
    </row>
    <row r="33" spans="1:15" x14ac:dyDescent="0.25">
      <c r="A33">
        <v>32</v>
      </c>
      <c r="B33" t="s">
        <v>10</v>
      </c>
      <c r="C33" t="s">
        <v>58</v>
      </c>
      <c r="D33" t="s">
        <v>12</v>
      </c>
      <c r="E33" t="s">
        <v>17</v>
      </c>
      <c r="H33" t="s">
        <v>14</v>
      </c>
      <c r="I33" t="s">
        <v>58</v>
      </c>
      <c r="J33" s="2">
        <v>26.761226053639799</v>
      </c>
      <c r="K33" t="s">
        <v>60</v>
      </c>
      <c r="O33" t="s">
        <v>225</v>
      </c>
    </row>
    <row r="34" spans="1:15" x14ac:dyDescent="0.25">
      <c r="A34">
        <v>33</v>
      </c>
      <c r="B34" t="s">
        <v>10</v>
      </c>
      <c r="C34" t="s">
        <v>58</v>
      </c>
      <c r="D34" t="s">
        <v>12</v>
      </c>
      <c r="E34" t="s">
        <v>20</v>
      </c>
      <c r="H34" t="s">
        <v>14</v>
      </c>
      <c r="I34" t="s">
        <v>58</v>
      </c>
      <c r="J34" s="2">
        <v>2.4492307692307702</v>
      </c>
      <c r="K34" t="s">
        <v>61</v>
      </c>
      <c r="O34" t="s">
        <v>226</v>
      </c>
    </row>
    <row r="35" spans="1:15" x14ac:dyDescent="0.25">
      <c r="A35">
        <v>34</v>
      </c>
      <c r="B35" t="s">
        <v>10</v>
      </c>
      <c r="C35" t="s">
        <v>58</v>
      </c>
      <c r="D35" t="s">
        <v>12</v>
      </c>
      <c r="E35" t="s">
        <v>22</v>
      </c>
      <c r="H35" t="s">
        <v>14</v>
      </c>
      <c r="I35" t="s">
        <v>58</v>
      </c>
      <c r="J35" s="2">
        <v>61.307340247574402</v>
      </c>
      <c r="K35" t="s">
        <v>62</v>
      </c>
      <c r="O35" t="s">
        <v>227</v>
      </c>
    </row>
    <row r="36" spans="1:15" x14ac:dyDescent="0.25">
      <c r="A36">
        <v>35</v>
      </c>
      <c r="B36" t="s">
        <v>10</v>
      </c>
      <c r="C36" t="s">
        <v>58</v>
      </c>
      <c r="D36" t="s">
        <v>12</v>
      </c>
      <c r="E36" t="s">
        <v>24</v>
      </c>
      <c r="H36" t="s">
        <v>14</v>
      </c>
      <c r="I36" t="s">
        <v>58</v>
      </c>
      <c r="J36" s="2">
        <v>20.415220625962</v>
      </c>
      <c r="K36" t="s">
        <v>63</v>
      </c>
      <c r="O36" t="s">
        <v>228</v>
      </c>
    </row>
    <row r="37" spans="1:15" x14ac:dyDescent="0.25">
      <c r="A37">
        <v>36</v>
      </c>
      <c r="B37" t="s">
        <v>10</v>
      </c>
      <c r="C37" t="s">
        <v>64</v>
      </c>
      <c r="H37" t="s">
        <v>14</v>
      </c>
      <c r="I37" t="s">
        <v>64</v>
      </c>
      <c r="J37" s="2">
        <v>45.934302581725298</v>
      </c>
      <c r="K37" t="s">
        <v>65</v>
      </c>
      <c r="O37" t="s">
        <v>229</v>
      </c>
    </row>
    <row r="38" spans="1:15" x14ac:dyDescent="0.25">
      <c r="A38">
        <v>37</v>
      </c>
      <c r="B38" s="1" t="s">
        <v>10</v>
      </c>
      <c r="C38" s="1" t="s">
        <v>66</v>
      </c>
      <c r="D38" s="1" t="s">
        <v>67</v>
      </c>
      <c r="E38" s="1" t="s">
        <v>68</v>
      </c>
      <c r="F38" s="1"/>
      <c r="G38" s="1"/>
      <c r="H38" s="1" t="s">
        <v>14</v>
      </c>
      <c r="I38" s="1" t="s">
        <v>66</v>
      </c>
      <c r="J38" s="3">
        <v>501.225863</v>
      </c>
      <c r="K38" s="1" t="s">
        <v>69</v>
      </c>
      <c r="L38" s="1"/>
      <c r="M38" s="1"/>
      <c r="O38" t="s">
        <v>230</v>
      </c>
    </row>
    <row r="39" spans="1:15" x14ac:dyDescent="0.25">
      <c r="A39">
        <v>38</v>
      </c>
      <c r="B39" s="1" t="s">
        <v>10</v>
      </c>
      <c r="C39" s="1" t="s">
        <v>66</v>
      </c>
      <c r="D39" s="1" t="s">
        <v>67</v>
      </c>
      <c r="E39" s="1" t="s">
        <v>70</v>
      </c>
      <c r="F39" s="1"/>
      <c r="G39" s="1"/>
      <c r="H39" s="1" t="s">
        <v>14</v>
      </c>
      <c r="I39" s="1" t="s">
        <v>66</v>
      </c>
      <c r="J39" s="3">
        <v>35.846953999999997</v>
      </c>
      <c r="K39" s="1" t="s">
        <v>71</v>
      </c>
      <c r="L39" s="1"/>
      <c r="M39" s="1"/>
      <c r="O39" t="s">
        <v>231</v>
      </c>
    </row>
    <row r="40" spans="1:15" x14ac:dyDescent="0.25">
      <c r="A40">
        <v>39</v>
      </c>
      <c r="B40" s="1" t="s">
        <v>10</v>
      </c>
      <c r="C40" s="1" t="s">
        <v>66</v>
      </c>
      <c r="D40" s="1" t="s">
        <v>67</v>
      </c>
      <c r="E40" s="1" t="s">
        <v>72</v>
      </c>
      <c r="F40" s="1"/>
      <c r="G40" s="1"/>
      <c r="H40" s="1" t="s">
        <v>14</v>
      </c>
      <c r="I40" s="1" t="s">
        <v>66</v>
      </c>
      <c r="J40" s="3">
        <v>1684.595949</v>
      </c>
      <c r="K40" s="1" t="s">
        <v>73</v>
      </c>
      <c r="L40" s="1"/>
      <c r="M40" s="1"/>
      <c r="O40" t="s">
        <v>232</v>
      </c>
    </row>
    <row r="41" spans="1:15" x14ac:dyDescent="0.25">
      <c r="A41">
        <v>40</v>
      </c>
      <c r="B41" s="1" t="s">
        <v>10</v>
      </c>
      <c r="C41" s="1" t="s">
        <v>66</v>
      </c>
      <c r="D41" s="1" t="s">
        <v>67</v>
      </c>
      <c r="E41" s="1" t="s">
        <v>74</v>
      </c>
      <c r="F41" s="1"/>
      <c r="G41" s="1"/>
      <c r="H41" s="1" t="s">
        <v>14</v>
      </c>
      <c r="I41" s="1" t="s">
        <v>66</v>
      </c>
      <c r="J41" s="3">
        <v>2126.5609119999999</v>
      </c>
      <c r="K41" s="1" t="s">
        <v>75</v>
      </c>
      <c r="L41" s="1"/>
      <c r="M41" s="1"/>
      <c r="O41" t="s">
        <v>233</v>
      </c>
    </row>
    <row r="42" spans="1:15" x14ac:dyDescent="0.25">
      <c r="A42">
        <v>41</v>
      </c>
      <c r="B42" s="1" t="s">
        <v>10</v>
      </c>
      <c r="C42" s="1" t="s">
        <v>66</v>
      </c>
      <c r="D42" s="1" t="s">
        <v>67</v>
      </c>
      <c r="E42" s="1" t="s">
        <v>76</v>
      </c>
      <c r="F42" s="1"/>
      <c r="G42" s="1"/>
      <c r="H42" s="1" t="s">
        <v>14</v>
      </c>
      <c r="I42" s="1" t="s">
        <v>66</v>
      </c>
      <c r="J42" s="3">
        <v>236.19507300000001</v>
      </c>
      <c r="K42" s="1" t="s">
        <v>77</v>
      </c>
      <c r="L42" s="1"/>
      <c r="M42" s="1"/>
      <c r="O42" t="s">
        <v>234</v>
      </c>
    </row>
    <row r="43" spans="1:15" x14ac:dyDescent="0.25">
      <c r="A43">
        <v>42</v>
      </c>
      <c r="B43" s="1" t="s">
        <v>10</v>
      </c>
      <c r="C43" s="1" t="s">
        <v>66</v>
      </c>
      <c r="D43" s="1" t="s">
        <v>67</v>
      </c>
      <c r="E43" s="1" t="s">
        <v>78</v>
      </c>
      <c r="F43" s="1"/>
      <c r="G43" s="1"/>
      <c r="H43" s="1" t="s">
        <v>14</v>
      </c>
      <c r="I43" s="1" t="s">
        <v>66</v>
      </c>
      <c r="J43" s="3">
        <v>86.362209000000007</v>
      </c>
      <c r="K43" s="1" t="s">
        <v>79</v>
      </c>
      <c r="L43" s="1"/>
      <c r="M43" s="1"/>
      <c r="O43" t="s">
        <v>235</v>
      </c>
    </row>
    <row r="44" spans="1:15" x14ac:dyDescent="0.25">
      <c r="A44">
        <v>43</v>
      </c>
      <c r="B44" s="1" t="s">
        <v>10</v>
      </c>
      <c r="C44" s="1" t="s">
        <v>66</v>
      </c>
      <c r="D44" s="1" t="s">
        <v>67</v>
      </c>
      <c r="E44" s="1" t="s">
        <v>80</v>
      </c>
      <c r="F44" s="1"/>
      <c r="G44" s="1"/>
      <c r="H44" s="1" t="s">
        <v>14</v>
      </c>
      <c r="I44" s="1" t="s">
        <v>66</v>
      </c>
      <c r="J44" s="3">
        <v>170.10426799999999</v>
      </c>
      <c r="K44" s="1" t="s">
        <v>81</v>
      </c>
      <c r="L44" s="1"/>
      <c r="M44" s="1"/>
      <c r="O44" t="s">
        <v>236</v>
      </c>
    </row>
    <row r="45" spans="1:15" x14ac:dyDescent="0.25">
      <c r="A45">
        <v>44</v>
      </c>
      <c r="B45" t="s">
        <v>10</v>
      </c>
      <c r="C45" t="s">
        <v>82</v>
      </c>
      <c r="D45" t="s">
        <v>12</v>
      </c>
      <c r="E45" t="s">
        <v>83</v>
      </c>
      <c r="F45" t="s">
        <v>84</v>
      </c>
      <c r="G45" t="s">
        <v>85</v>
      </c>
      <c r="H45" t="s">
        <v>14</v>
      </c>
      <c r="I45" t="s">
        <v>82</v>
      </c>
      <c r="J45" s="2">
        <v>176.46281200000001</v>
      </c>
      <c r="K45" t="s">
        <v>86</v>
      </c>
      <c r="O45" t="s">
        <v>237</v>
      </c>
    </row>
    <row r="46" spans="1:15" x14ac:dyDescent="0.25">
      <c r="A46">
        <v>45</v>
      </c>
      <c r="B46" t="s">
        <v>10</v>
      </c>
      <c r="C46" t="s">
        <v>82</v>
      </c>
      <c r="D46" t="s">
        <v>12</v>
      </c>
      <c r="E46" t="s">
        <v>87</v>
      </c>
      <c r="F46" t="s">
        <v>84</v>
      </c>
      <c r="G46" t="s">
        <v>85</v>
      </c>
      <c r="H46" t="s">
        <v>14</v>
      </c>
      <c r="I46" t="s">
        <v>82</v>
      </c>
      <c r="J46" s="2">
        <v>1730.7859699999999</v>
      </c>
      <c r="K46" t="s">
        <v>88</v>
      </c>
      <c r="O46" t="s">
        <v>238</v>
      </c>
    </row>
    <row r="47" spans="1:15" x14ac:dyDescent="0.25">
      <c r="A47">
        <v>46</v>
      </c>
      <c r="B47" t="s">
        <v>10</v>
      </c>
      <c r="C47" t="s">
        <v>82</v>
      </c>
      <c r="D47" t="s">
        <v>12</v>
      </c>
      <c r="E47" t="s">
        <v>89</v>
      </c>
      <c r="F47" t="s">
        <v>84</v>
      </c>
      <c r="G47" t="s">
        <v>85</v>
      </c>
      <c r="H47" t="s">
        <v>14</v>
      </c>
      <c r="I47" t="s">
        <v>82</v>
      </c>
      <c r="J47" s="2">
        <v>386.46434900000003</v>
      </c>
      <c r="K47" t="s">
        <v>90</v>
      </c>
      <c r="O47" t="s">
        <v>239</v>
      </c>
    </row>
    <row r="48" spans="1:15" x14ac:dyDescent="0.25">
      <c r="A48">
        <v>47</v>
      </c>
      <c r="B48" t="s">
        <v>10</v>
      </c>
      <c r="C48" t="s">
        <v>82</v>
      </c>
      <c r="D48" t="s">
        <v>12</v>
      </c>
      <c r="E48" t="s">
        <v>91</v>
      </c>
      <c r="F48" t="s">
        <v>84</v>
      </c>
      <c r="G48" t="s">
        <v>85</v>
      </c>
      <c r="H48" t="s">
        <v>14</v>
      </c>
      <c r="I48" t="s">
        <v>82</v>
      </c>
      <c r="J48" s="2">
        <v>59.416707000000002</v>
      </c>
      <c r="K48" t="s">
        <v>92</v>
      </c>
      <c r="O48" t="s">
        <v>240</v>
      </c>
    </row>
    <row r="49" spans="1:15" x14ac:dyDescent="0.25">
      <c r="A49">
        <v>48</v>
      </c>
      <c r="B49" t="s">
        <v>10</v>
      </c>
      <c r="C49" t="s">
        <v>82</v>
      </c>
      <c r="D49" t="s">
        <v>12</v>
      </c>
      <c r="E49" t="s">
        <v>93</v>
      </c>
      <c r="F49" t="s">
        <v>84</v>
      </c>
      <c r="G49" t="s">
        <v>85</v>
      </c>
      <c r="H49" t="s">
        <v>14</v>
      </c>
      <c r="I49" t="s">
        <v>82</v>
      </c>
      <c r="J49" s="2">
        <v>0</v>
      </c>
      <c r="K49" t="s">
        <v>94</v>
      </c>
      <c r="O49" t="s">
        <v>241</v>
      </c>
    </row>
    <row r="50" spans="1:15" x14ac:dyDescent="0.25">
      <c r="A50">
        <v>49</v>
      </c>
      <c r="B50" t="s">
        <v>10</v>
      </c>
      <c r="C50" t="s">
        <v>82</v>
      </c>
      <c r="D50" t="s">
        <v>12</v>
      </c>
      <c r="E50" t="s">
        <v>83</v>
      </c>
      <c r="F50" t="s">
        <v>84</v>
      </c>
      <c r="G50" t="s">
        <v>95</v>
      </c>
      <c r="H50" t="s">
        <v>14</v>
      </c>
      <c r="I50" t="s">
        <v>82</v>
      </c>
      <c r="J50" s="2">
        <v>175.98636300000001</v>
      </c>
      <c r="K50" t="s">
        <v>96</v>
      </c>
      <c r="O50" t="s">
        <v>242</v>
      </c>
    </row>
    <row r="51" spans="1:15" x14ac:dyDescent="0.25">
      <c r="A51">
        <v>50</v>
      </c>
      <c r="B51" t="s">
        <v>10</v>
      </c>
      <c r="C51" t="s">
        <v>82</v>
      </c>
      <c r="D51" t="s">
        <v>12</v>
      </c>
      <c r="E51" t="s">
        <v>87</v>
      </c>
      <c r="F51" t="s">
        <v>84</v>
      </c>
      <c r="G51" t="s">
        <v>95</v>
      </c>
      <c r="H51" t="s">
        <v>14</v>
      </c>
      <c r="I51" t="s">
        <v>82</v>
      </c>
      <c r="J51" s="2">
        <v>1393.2340449999999</v>
      </c>
      <c r="K51" t="s">
        <v>97</v>
      </c>
      <c r="O51" t="s">
        <v>243</v>
      </c>
    </row>
    <row r="52" spans="1:15" x14ac:dyDescent="0.25">
      <c r="A52">
        <v>51</v>
      </c>
      <c r="B52" t="s">
        <v>10</v>
      </c>
      <c r="C52" t="s">
        <v>82</v>
      </c>
      <c r="D52" t="s">
        <v>12</v>
      </c>
      <c r="E52" t="s">
        <v>89</v>
      </c>
      <c r="F52" t="s">
        <v>84</v>
      </c>
      <c r="G52" t="s">
        <v>95</v>
      </c>
      <c r="H52" t="s">
        <v>14</v>
      </c>
      <c r="I52" t="s">
        <v>82</v>
      </c>
      <c r="J52" s="2">
        <v>0</v>
      </c>
      <c r="K52" t="s">
        <v>98</v>
      </c>
      <c r="O52" t="s">
        <v>244</v>
      </c>
    </row>
    <row r="53" spans="1:15" x14ac:dyDescent="0.25">
      <c r="A53">
        <v>52</v>
      </c>
      <c r="B53" t="s">
        <v>10</v>
      </c>
      <c r="C53" t="s">
        <v>82</v>
      </c>
      <c r="D53" t="s">
        <v>12</v>
      </c>
      <c r="E53" t="s">
        <v>91</v>
      </c>
      <c r="F53" t="s">
        <v>84</v>
      </c>
      <c r="G53" t="s">
        <v>95</v>
      </c>
      <c r="H53" t="s">
        <v>14</v>
      </c>
      <c r="I53" t="s">
        <v>82</v>
      </c>
      <c r="J53" s="2">
        <v>59.698194000000001</v>
      </c>
      <c r="K53" t="s">
        <v>99</v>
      </c>
      <c r="O53" t="s">
        <v>245</v>
      </c>
    </row>
    <row r="54" spans="1:15" x14ac:dyDescent="0.25">
      <c r="A54">
        <v>53</v>
      </c>
      <c r="B54" t="s">
        <v>10</v>
      </c>
      <c r="C54" t="s">
        <v>82</v>
      </c>
      <c r="D54" t="s">
        <v>12</v>
      </c>
      <c r="E54" t="s">
        <v>93</v>
      </c>
      <c r="F54" t="s">
        <v>84</v>
      </c>
      <c r="G54" t="s">
        <v>95</v>
      </c>
      <c r="H54" t="s">
        <v>14</v>
      </c>
      <c r="I54" t="s">
        <v>82</v>
      </c>
      <c r="J54" s="2">
        <v>0</v>
      </c>
      <c r="K54" t="s">
        <v>100</v>
      </c>
      <c r="O54" t="s">
        <v>246</v>
      </c>
    </row>
    <row r="55" spans="1:15" x14ac:dyDescent="0.25">
      <c r="A55">
        <v>54</v>
      </c>
      <c r="B55" s="1" t="s">
        <v>10</v>
      </c>
      <c r="C55" s="1" t="s">
        <v>101</v>
      </c>
      <c r="D55" s="1" t="s">
        <v>102</v>
      </c>
      <c r="E55" s="1" t="s">
        <v>103</v>
      </c>
      <c r="F55" s="1"/>
      <c r="G55" s="1"/>
      <c r="H55" s="1" t="s">
        <v>14</v>
      </c>
      <c r="I55" s="1" t="s">
        <v>104</v>
      </c>
      <c r="J55" s="3">
        <v>1060416</v>
      </c>
      <c r="K55" s="1" t="s">
        <v>105</v>
      </c>
      <c r="O55" t="s">
        <v>247</v>
      </c>
    </row>
    <row r="56" spans="1:15" x14ac:dyDescent="0.25">
      <c r="A56">
        <v>55</v>
      </c>
      <c r="B56" s="1" t="s">
        <v>10</v>
      </c>
      <c r="C56" s="1" t="s">
        <v>101</v>
      </c>
      <c r="D56" s="1" t="s">
        <v>102</v>
      </c>
      <c r="E56" s="1" t="s">
        <v>106</v>
      </c>
      <c r="F56" s="1"/>
      <c r="G56" s="1"/>
      <c r="H56" s="1" t="s">
        <v>14</v>
      </c>
      <c r="I56" s="1" t="s">
        <v>104</v>
      </c>
      <c r="J56" s="3">
        <v>454811.867448</v>
      </c>
      <c r="K56" s="1" t="s">
        <v>107</v>
      </c>
      <c r="O56" t="s">
        <v>248</v>
      </c>
    </row>
    <row r="57" spans="1:15" x14ac:dyDescent="0.25">
      <c r="A57">
        <v>56</v>
      </c>
      <c r="B57" s="1" t="s">
        <v>10</v>
      </c>
      <c r="C57" s="1" t="s">
        <v>101</v>
      </c>
      <c r="D57" s="1" t="s">
        <v>102</v>
      </c>
      <c r="E57" s="1" t="s">
        <v>108</v>
      </c>
      <c r="F57" s="1"/>
      <c r="G57" s="1"/>
      <c r="H57" s="1" t="s">
        <v>14</v>
      </c>
      <c r="I57" s="1" t="s">
        <v>104</v>
      </c>
      <c r="J57" s="3">
        <v>0.42889899999999997</v>
      </c>
      <c r="K57" s="1" t="s">
        <v>109</v>
      </c>
      <c r="L57" t="s">
        <v>182</v>
      </c>
      <c r="O57" t="s">
        <v>249</v>
      </c>
    </row>
    <row r="58" spans="1:15" x14ac:dyDescent="0.25">
      <c r="A58">
        <v>57</v>
      </c>
      <c r="B58" s="1" t="s">
        <v>10</v>
      </c>
      <c r="C58" s="1" t="s">
        <v>101</v>
      </c>
      <c r="D58" s="1" t="s">
        <v>102</v>
      </c>
      <c r="E58" s="1" t="s">
        <v>110</v>
      </c>
      <c r="F58" s="1"/>
      <c r="G58" s="1"/>
      <c r="H58" s="1" t="s">
        <v>14</v>
      </c>
      <c r="I58" s="1" t="s">
        <v>104</v>
      </c>
      <c r="J58" s="3">
        <v>375908</v>
      </c>
      <c r="K58" s="1" t="s">
        <v>111</v>
      </c>
      <c r="O58" t="s">
        <v>250</v>
      </c>
    </row>
    <row r="59" spans="1:15" x14ac:dyDescent="0.25">
      <c r="A59">
        <v>58</v>
      </c>
      <c r="B59" s="1" t="s">
        <v>10</v>
      </c>
      <c r="C59" s="1" t="s">
        <v>101</v>
      </c>
      <c r="D59" s="1" t="s">
        <v>102</v>
      </c>
      <c r="E59" s="1" t="s">
        <v>112</v>
      </c>
      <c r="F59" s="1"/>
      <c r="G59" s="1"/>
      <c r="H59" s="1" t="s">
        <v>14</v>
      </c>
      <c r="I59" s="1" t="s">
        <v>104</v>
      </c>
      <c r="J59" s="3">
        <v>247701.40655499999</v>
      </c>
      <c r="K59" s="1" t="s">
        <v>113</v>
      </c>
      <c r="O59" t="s">
        <v>251</v>
      </c>
    </row>
    <row r="60" spans="1:15" x14ac:dyDescent="0.25">
      <c r="A60">
        <v>59</v>
      </c>
      <c r="B60" s="1" t="s">
        <v>10</v>
      </c>
      <c r="C60" s="1" t="s">
        <v>101</v>
      </c>
      <c r="D60" s="1" t="s">
        <v>102</v>
      </c>
      <c r="E60" s="1" t="s">
        <v>114</v>
      </c>
      <c r="F60" s="1"/>
      <c r="G60" s="1"/>
      <c r="H60" s="1" t="s">
        <v>14</v>
      </c>
      <c r="I60" s="1" t="s">
        <v>104</v>
      </c>
      <c r="J60" s="3">
        <v>0.65894200000000003</v>
      </c>
      <c r="K60" s="1" t="s">
        <v>115</v>
      </c>
      <c r="L60" t="s">
        <v>182</v>
      </c>
      <c r="O60" t="s">
        <v>252</v>
      </c>
    </row>
    <row r="61" spans="1:15" x14ac:dyDescent="0.25">
      <c r="A61">
        <v>60</v>
      </c>
      <c r="B61" t="s">
        <v>10</v>
      </c>
      <c r="C61" t="s">
        <v>101</v>
      </c>
      <c r="D61" t="s">
        <v>102</v>
      </c>
      <c r="E61" t="s">
        <v>103</v>
      </c>
      <c r="H61" t="s">
        <v>14</v>
      </c>
      <c r="I61" t="s">
        <v>116</v>
      </c>
      <c r="J61" s="2">
        <v>392143</v>
      </c>
      <c r="K61" s="1" t="s">
        <v>117</v>
      </c>
      <c r="O61" t="s">
        <v>253</v>
      </c>
    </row>
    <row r="62" spans="1:15" x14ac:dyDescent="0.25">
      <c r="A62">
        <v>61</v>
      </c>
      <c r="B62" t="s">
        <v>10</v>
      </c>
      <c r="C62" t="s">
        <v>101</v>
      </c>
      <c r="D62" t="s">
        <v>102</v>
      </c>
      <c r="E62" t="s">
        <v>106</v>
      </c>
      <c r="H62" t="s">
        <v>14</v>
      </c>
      <c r="I62" t="s">
        <v>116</v>
      </c>
      <c r="J62" s="2">
        <v>264791.39784400002</v>
      </c>
      <c r="K62" s="1" t="s">
        <v>118</v>
      </c>
      <c r="O62" t="s">
        <v>254</v>
      </c>
    </row>
    <row r="63" spans="1:15" x14ac:dyDescent="0.25">
      <c r="A63">
        <v>62</v>
      </c>
      <c r="B63" t="s">
        <v>10</v>
      </c>
      <c r="C63" t="s">
        <v>101</v>
      </c>
      <c r="D63" t="s">
        <v>102</v>
      </c>
      <c r="E63" t="s">
        <v>108</v>
      </c>
      <c r="H63" t="s">
        <v>14</v>
      </c>
      <c r="I63" t="s">
        <v>116</v>
      </c>
      <c r="J63" s="2">
        <v>0.67524200000000001</v>
      </c>
      <c r="K63" s="1" t="s">
        <v>119</v>
      </c>
      <c r="L63" t="s">
        <v>182</v>
      </c>
      <c r="O63" t="s">
        <v>255</v>
      </c>
    </row>
    <row r="64" spans="1:15" x14ac:dyDescent="0.25">
      <c r="A64">
        <v>63</v>
      </c>
      <c r="B64" t="s">
        <v>10</v>
      </c>
      <c r="C64" t="s">
        <v>101</v>
      </c>
      <c r="D64" t="s">
        <v>102</v>
      </c>
      <c r="E64" t="s">
        <v>110</v>
      </c>
      <c r="H64" t="s">
        <v>14</v>
      </c>
      <c r="I64" t="s">
        <v>116</v>
      </c>
      <c r="J64" s="2">
        <v>139496</v>
      </c>
      <c r="K64" s="1" t="s">
        <v>120</v>
      </c>
      <c r="O64" t="s">
        <v>256</v>
      </c>
    </row>
    <row r="65" spans="1:15" x14ac:dyDescent="0.25">
      <c r="A65">
        <v>64</v>
      </c>
      <c r="B65" t="s">
        <v>10</v>
      </c>
      <c r="C65" t="s">
        <v>101</v>
      </c>
      <c r="D65" t="s">
        <v>102</v>
      </c>
      <c r="E65" t="s">
        <v>112</v>
      </c>
      <c r="H65" t="s">
        <v>14</v>
      </c>
      <c r="I65" t="s">
        <v>116</v>
      </c>
      <c r="J65" s="2">
        <v>110754.751101</v>
      </c>
      <c r="K65" s="1" t="s">
        <v>121</v>
      </c>
      <c r="O65" t="s">
        <v>257</v>
      </c>
    </row>
    <row r="66" spans="1:15" x14ac:dyDescent="0.25">
      <c r="A66">
        <v>65</v>
      </c>
      <c r="B66" t="s">
        <v>10</v>
      </c>
      <c r="C66" t="s">
        <v>101</v>
      </c>
      <c r="D66" t="s">
        <v>102</v>
      </c>
      <c r="E66" t="s">
        <v>114</v>
      </c>
      <c r="H66" t="s">
        <v>14</v>
      </c>
      <c r="I66" t="s">
        <v>116</v>
      </c>
      <c r="J66" s="2">
        <v>0.793964</v>
      </c>
      <c r="K66" s="1" t="s">
        <v>122</v>
      </c>
      <c r="L66" t="s">
        <v>182</v>
      </c>
      <c r="O66" t="s">
        <v>258</v>
      </c>
    </row>
    <row r="67" spans="1:15" x14ac:dyDescent="0.25">
      <c r="A67">
        <v>66</v>
      </c>
      <c r="B67" t="s">
        <v>10</v>
      </c>
      <c r="C67" t="s">
        <v>123</v>
      </c>
      <c r="D67" t="s">
        <v>84</v>
      </c>
      <c r="E67" t="s">
        <v>85</v>
      </c>
      <c r="H67" t="s">
        <v>14</v>
      </c>
      <c r="I67" t="s">
        <v>123</v>
      </c>
      <c r="J67" s="2">
        <v>12.47162</v>
      </c>
      <c r="K67" t="s">
        <v>124</v>
      </c>
      <c r="O67" t="s">
        <v>259</v>
      </c>
    </row>
    <row r="68" spans="1:15" x14ac:dyDescent="0.25">
      <c r="A68">
        <v>67</v>
      </c>
      <c r="B68" t="s">
        <v>10</v>
      </c>
      <c r="C68" t="s">
        <v>123</v>
      </c>
      <c r="D68" t="s">
        <v>84</v>
      </c>
      <c r="E68" t="s">
        <v>95</v>
      </c>
      <c r="H68" t="s">
        <v>14</v>
      </c>
      <c r="I68" t="s">
        <v>123</v>
      </c>
      <c r="J68" s="2">
        <v>13.393060999999999</v>
      </c>
      <c r="K68" t="s">
        <v>125</v>
      </c>
      <c r="O68" t="s">
        <v>260</v>
      </c>
    </row>
    <row r="69" spans="1:15" x14ac:dyDescent="0.25">
      <c r="A69">
        <v>68</v>
      </c>
      <c r="B69" t="s">
        <v>10</v>
      </c>
      <c r="C69" t="s">
        <v>123</v>
      </c>
      <c r="D69" t="s">
        <v>84</v>
      </c>
      <c r="E69" t="s">
        <v>126</v>
      </c>
      <c r="H69" t="s">
        <v>14</v>
      </c>
      <c r="I69" t="s">
        <v>123</v>
      </c>
      <c r="J69" s="2">
        <v>12.484273999999999</v>
      </c>
      <c r="K69" t="s">
        <v>127</v>
      </c>
      <c r="O69" t="s">
        <v>261</v>
      </c>
    </row>
    <row r="70" spans="1:15" x14ac:dyDescent="0.25">
      <c r="A70">
        <v>69</v>
      </c>
      <c r="B70" t="s">
        <v>10</v>
      </c>
      <c r="C70" t="s">
        <v>128</v>
      </c>
      <c r="D70" t="s">
        <v>84</v>
      </c>
      <c r="E70" t="s">
        <v>129</v>
      </c>
      <c r="H70" t="s">
        <v>14</v>
      </c>
      <c r="I70" t="s">
        <v>128</v>
      </c>
      <c r="J70" s="2">
        <v>1.413729</v>
      </c>
      <c r="K70" t="s">
        <v>130</v>
      </c>
      <c r="L70" t="s">
        <v>182</v>
      </c>
      <c r="O70" t="s">
        <v>262</v>
      </c>
    </row>
    <row r="71" spans="1:15" x14ac:dyDescent="0.25">
      <c r="A71">
        <v>70</v>
      </c>
      <c r="B71" t="s">
        <v>10</v>
      </c>
      <c r="C71" t="s">
        <v>128</v>
      </c>
      <c r="D71" t="s">
        <v>84</v>
      </c>
      <c r="E71" t="s">
        <v>131</v>
      </c>
      <c r="H71" t="s">
        <v>14</v>
      </c>
      <c r="I71" t="s">
        <v>128</v>
      </c>
      <c r="J71" s="2">
        <v>1.4460230000000001</v>
      </c>
      <c r="K71" t="s">
        <v>132</v>
      </c>
      <c r="L71" t="s">
        <v>182</v>
      </c>
      <c r="O71" t="s">
        <v>263</v>
      </c>
    </row>
    <row r="72" spans="1:15" x14ac:dyDescent="0.25">
      <c r="A72">
        <v>71</v>
      </c>
      <c r="B72" t="s">
        <v>10</v>
      </c>
      <c r="C72" t="s">
        <v>133</v>
      </c>
      <c r="H72" t="s">
        <v>14</v>
      </c>
      <c r="I72" t="s">
        <v>133</v>
      </c>
      <c r="J72" s="2">
        <v>41.244390925296898</v>
      </c>
      <c r="K72" t="s">
        <v>134</v>
      </c>
      <c r="L72" t="s">
        <v>182</v>
      </c>
      <c r="O72" t="s">
        <v>264</v>
      </c>
    </row>
    <row r="73" spans="1:15" x14ac:dyDescent="0.25">
      <c r="A73">
        <v>72</v>
      </c>
      <c r="B73" t="s">
        <v>10</v>
      </c>
      <c r="C73" t="s">
        <v>135</v>
      </c>
      <c r="H73" t="s">
        <v>14</v>
      </c>
      <c r="I73" t="s">
        <v>136</v>
      </c>
      <c r="J73" s="2">
        <v>57105.149924653</v>
      </c>
      <c r="K73" t="str">
        <f>I73</f>
        <v>Auto Accessibility Off Peak</v>
      </c>
      <c r="O73" t="s">
        <v>265</v>
      </c>
    </row>
    <row r="74" spans="1:15" x14ac:dyDescent="0.25">
      <c r="A74">
        <v>73</v>
      </c>
      <c r="B74" t="s">
        <v>10</v>
      </c>
      <c r="C74" t="s">
        <v>135</v>
      </c>
      <c r="H74" t="s">
        <v>14</v>
      </c>
      <c r="I74" t="s">
        <v>137</v>
      </c>
      <c r="J74" s="2">
        <v>49658.786470125502</v>
      </c>
      <c r="K74" t="str">
        <f t="shared" ref="K74:K92" si="0">I74</f>
        <v>Auto Accessibility Peak</v>
      </c>
      <c r="O74" t="s">
        <v>266</v>
      </c>
    </row>
    <row r="75" spans="1:15" x14ac:dyDescent="0.25">
      <c r="A75">
        <v>74</v>
      </c>
      <c r="B75" t="s">
        <v>10</v>
      </c>
      <c r="C75" t="s">
        <v>135</v>
      </c>
      <c r="H75" t="s">
        <v>14</v>
      </c>
      <c r="I75" t="s">
        <v>138</v>
      </c>
      <c r="J75" s="2">
        <v>274709.95063166</v>
      </c>
      <c r="K75" t="str">
        <f t="shared" si="0"/>
        <v>Auto Accessibility Off Peak within 30 Minutes</v>
      </c>
      <c r="O75" t="s">
        <v>267</v>
      </c>
    </row>
    <row r="76" spans="1:15" x14ac:dyDescent="0.25">
      <c r="A76">
        <v>75</v>
      </c>
      <c r="B76" t="s">
        <v>10</v>
      </c>
      <c r="C76" t="s">
        <v>135</v>
      </c>
      <c r="H76" t="s">
        <v>14</v>
      </c>
      <c r="I76" t="s">
        <v>139</v>
      </c>
      <c r="J76" s="2">
        <v>243175.28301358101</v>
      </c>
      <c r="K76" t="str">
        <f t="shared" si="0"/>
        <v>Auto Accessibility Peak within 30 Minutes</v>
      </c>
      <c r="O76" t="s">
        <v>268</v>
      </c>
    </row>
    <row r="77" spans="1:15" x14ac:dyDescent="0.25">
      <c r="A77">
        <v>76</v>
      </c>
      <c r="B77" t="s">
        <v>10</v>
      </c>
      <c r="C77" t="s">
        <v>135</v>
      </c>
      <c r="H77" t="s">
        <v>14</v>
      </c>
      <c r="I77" t="s">
        <v>140</v>
      </c>
      <c r="J77" s="2">
        <v>0.70053513802786305</v>
      </c>
      <c r="K77" t="str">
        <f t="shared" si="0"/>
        <v>Auto Accessibility Percentage Off Peak within 30 Minutes</v>
      </c>
      <c r="O77" t="s">
        <v>269</v>
      </c>
    </row>
    <row r="78" spans="1:15" x14ac:dyDescent="0.25">
      <c r="A78">
        <v>77</v>
      </c>
      <c r="B78" t="s">
        <v>10</v>
      </c>
      <c r="C78" t="s">
        <v>135</v>
      </c>
      <c r="H78" t="s">
        <v>14</v>
      </c>
      <c r="I78" t="s">
        <v>141</v>
      </c>
      <c r="J78" s="2">
        <v>0.620118892887494</v>
      </c>
      <c r="K78" t="str">
        <f t="shared" si="0"/>
        <v>Auto Accessibility Percentage Peak within 30 Minutes</v>
      </c>
      <c r="O78" t="s">
        <v>270</v>
      </c>
    </row>
    <row r="79" spans="1:15" x14ac:dyDescent="0.25">
      <c r="A79">
        <v>78</v>
      </c>
      <c r="B79" t="s">
        <v>10</v>
      </c>
      <c r="C79" t="s">
        <v>135</v>
      </c>
      <c r="H79" t="s">
        <v>14</v>
      </c>
      <c r="I79" t="s">
        <v>142</v>
      </c>
      <c r="J79" s="2">
        <v>1732.6297701446399</v>
      </c>
      <c r="K79" t="str">
        <f t="shared" si="0"/>
        <v>Transit Accessibility Off Peak</v>
      </c>
      <c r="O79" t="s">
        <v>271</v>
      </c>
    </row>
    <row r="80" spans="1:15" x14ac:dyDescent="0.25">
      <c r="A80">
        <v>79</v>
      </c>
      <c r="B80" t="s">
        <v>10</v>
      </c>
      <c r="C80" t="s">
        <v>135</v>
      </c>
      <c r="H80" t="s">
        <v>14</v>
      </c>
      <c r="I80" t="s">
        <v>143</v>
      </c>
      <c r="J80" s="2">
        <v>2012.2500497321801</v>
      </c>
      <c r="K80" t="str">
        <f t="shared" si="0"/>
        <v>Transit Accessibility Peak</v>
      </c>
      <c r="O80" t="s">
        <v>272</v>
      </c>
    </row>
    <row r="81" spans="1:15" x14ac:dyDescent="0.25">
      <c r="A81">
        <v>80</v>
      </c>
      <c r="B81" t="s">
        <v>10</v>
      </c>
      <c r="C81" t="s">
        <v>135</v>
      </c>
      <c r="H81" t="s">
        <v>14</v>
      </c>
      <c r="I81" t="s">
        <v>144</v>
      </c>
      <c r="J81" s="2">
        <v>33910.792666093897</v>
      </c>
      <c r="K81" t="str">
        <f t="shared" si="0"/>
        <v>Transit Accessibility Off Peak within 45 Minutes</v>
      </c>
      <c r="O81" t="s">
        <v>273</v>
      </c>
    </row>
    <row r="82" spans="1:15" x14ac:dyDescent="0.25">
      <c r="A82">
        <v>81</v>
      </c>
      <c r="B82" t="s">
        <v>10</v>
      </c>
      <c r="C82" t="s">
        <v>135</v>
      </c>
      <c r="H82" t="s">
        <v>14</v>
      </c>
      <c r="I82" t="s">
        <v>145</v>
      </c>
      <c r="J82" s="2">
        <v>73152.494797642401</v>
      </c>
      <c r="K82" t="str">
        <f t="shared" si="0"/>
        <v>Transit Accessibility Off Peak within 60 Minutes</v>
      </c>
      <c r="O82" t="s">
        <v>274</v>
      </c>
    </row>
    <row r="83" spans="1:15" x14ac:dyDescent="0.25">
      <c r="A83">
        <v>82</v>
      </c>
      <c r="B83" t="s">
        <v>10</v>
      </c>
      <c r="C83" t="s">
        <v>135</v>
      </c>
      <c r="H83" t="s">
        <v>14</v>
      </c>
      <c r="I83" t="s">
        <v>146</v>
      </c>
      <c r="J83" s="2">
        <v>134952.55625425201</v>
      </c>
      <c r="K83" t="str">
        <f t="shared" si="0"/>
        <v>Transit Accessibility Off Peak within 90 Minutes</v>
      </c>
      <c r="O83" t="s">
        <v>275</v>
      </c>
    </row>
    <row r="84" spans="1:15" x14ac:dyDescent="0.25">
      <c r="A84">
        <v>83</v>
      </c>
      <c r="B84" t="s">
        <v>10</v>
      </c>
      <c r="C84" t="s">
        <v>135</v>
      </c>
      <c r="H84" t="s">
        <v>14</v>
      </c>
      <c r="I84" t="s">
        <v>147</v>
      </c>
      <c r="J84" s="2">
        <v>8.6475578210229304E-2</v>
      </c>
      <c r="K84" t="str">
        <f t="shared" si="0"/>
        <v>Transit Accessibility Percentage Off Peak within 45 Minutes</v>
      </c>
      <c r="O84" t="s">
        <v>276</v>
      </c>
    </row>
    <row r="85" spans="1:15" x14ac:dyDescent="0.25">
      <c r="A85">
        <v>84</v>
      </c>
      <c r="B85" t="s">
        <v>10</v>
      </c>
      <c r="C85" t="s">
        <v>135</v>
      </c>
      <c r="H85" t="s">
        <v>14</v>
      </c>
      <c r="I85" t="s">
        <v>148</v>
      </c>
      <c r="J85" s="2">
        <v>0.18654545611586201</v>
      </c>
      <c r="K85" t="str">
        <f t="shared" si="0"/>
        <v>Transit Accessibility Percentage Off Peak within 60 Minutes</v>
      </c>
      <c r="O85" t="s">
        <v>277</v>
      </c>
    </row>
    <row r="86" spans="1:15" x14ac:dyDescent="0.25">
      <c r="A86">
        <v>85</v>
      </c>
      <c r="B86" t="s">
        <v>10</v>
      </c>
      <c r="C86" t="s">
        <v>135</v>
      </c>
      <c r="H86" t="s">
        <v>14</v>
      </c>
      <c r="I86" t="s">
        <v>149</v>
      </c>
      <c r="J86" s="2">
        <v>0.34414118383919201</v>
      </c>
      <c r="K86" t="str">
        <f t="shared" si="0"/>
        <v>Transit Accessibility Percentage Off Peak within 90 Minutes</v>
      </c>
      <c r="O86" t="s">
        <v>278</v>
      </c>
    </row>
    <row r="87" spans="1:15" x14ac:dyDescent="0.25">
      <c r="A87">
        <v>86</v>
      </c>
      <c r="B87" t="s">
        <v>10</v>
      </c>
      <c r="C87" t="s">
        <v>135</v>
      </c>
      <c r="H87" t="s">
        <v>14</v>
      </c>
      <c r="I87" t="s">
        <v>150</v>
      </c>
      <c r="J87" s="2">
        <v>38804.195305326502</v>
      </c>
      <c r="K87" t="str">
        <f t="shared" si="0"/>
        <v>Transit Accessibility Peak within 45 Minutes</v>
      </c>
      <c r="O87" t="s">
        <v>279</v>
      </c>
    </row>
    <row r="88" spans="1:15" x14ac:dyDescent="0.25">
      <c r="A88">
        <v>87</v>
      </c>
      <c r="B88" t="s">
        <v>10</v>
      </c>
      <c r="C88" t="s">
        <v>135</v>
      </c>
      <c r="H88" t="s">
        <v>14</v>
      </c>
      <c r="I88" t="s">
        <v>151</v>
      </c>
      <c r="J88" s="2">
        <v>78187.880736658699</v>
      </c>
      <c r="K88" t="str">
        <f t="shared" si="0"/>
        <v>Transit Accessibility Peak within 60 Minutes</v>
      </c>
      <c r="O88" t="s">
        <v>280</v>
      </c>
    </row>
    <row r="89" spans="1:15" x14ac:dyDescent="0.25">
      <c r="A89">
        <v>88</v>
      </c>
      <c r="B89" t="s">
        <v>10</v>
      </c>
      <c r="C89" t="s">
        <v>135</v>
      </c>
      <c r="H89" t="s">
        <v>14</v>
      </c>
      <c r="I89" t="s">
        <v>152</v>
      </c>
      <c r="J89" s="2">
        <v>141822.78373622801</v>
      </c>
      <c r="K89" t="str">
        <f t="shared" si="0"/>
        <v>Transit Accessibility Peak within 90 Minutes</v>
      </c>
      <c r="O89" t="s">
        <v>281</v>
      </c>
    </row>
    <row r="90" spans="1:15" x14ac:dyDescent="0.25">
      <c r="A90">
        <v>89</v>
      </c>
      <c r="B90" t="s">
        <v>10</v>
      </c>
      <c r="C90" t="s">
        <v>135</v>
      </c>
      <c r="H90" t="s">
        <v>14</v>
      </c>
      <c r="I90" t="s">
        <v>153</v>
      </c>
      <c r="J90" s="2">
        <v>9.8954196059413205E-2</v>
      </c>
      <c r="K90" t="str">
        <f t="shared" si="0"/>
        <v>Transit Accessibility Percetange Peak within 45 Minutes</v>
      </c>
      <c r="O90" t="s">
        <v>282</v>
      </c>
    </row>
    <row r="91" spans="1:15" x14ac:dyDescent="0.25">
      <c r="A91">
        <v>90</v>
      </c>
      <c r="B91" t="s">
        <v>10</v>
      </c>
      <c r="C91" t="s">
        <v>135</v>
      </c>
      <c r="H91" t="s">
        <v>14</v>
      </c>
      <c r="I91" t="s">
        <v>154</v>
      </c>
      <c r="J91" s="2">
        <v>0.19938614417867601</v>
      </c>
      <c r="K91" t="str">
        <f t="shared" si="0"/>
        <v>Transit Accessibility Percentage Peak within 60 Minutes</v>
      </c>
      <c r="O91" t="s">
        <v>283</v>
      </c>
    </row>
    <row r="92" spans="1:15" x14ac:dyDescent="0.25">
      <c r="A92">
        <v>91</v>
      </c>
      <c r="B92" t="s">
        <v>10</v>
      </c>
      <c r="C92" t="s">
        <v>135</v>
      </c>
      <c r="H92" t="s">
        <v>14</v>
      </c>
      <c r="I92" t="s">
        <v>155</v>
      </c>
      <c r="J92" s="2">
        <v>0.36166088323960299</v>
      </c>
      <c r="K92" t="str">
        <f t="shared" si="0"/>
        <v>Transit Accessibility Percentage Peak within 90 Minutes</v>
      </c>
      <c r="O92" t="s">
        <v>284</v>
      </c>
    </row>
    <row r="93" spans="1:15" x14ac:dyDescent="0.25">
      <c r="A93">
        <v>92</v>
      </c>
      <c r="B93" t="s">
        <v>10</v>
      </c>
      <c r="C93" t="s">
        <v>156</v>
      </c>
      <c r="D93" t="s">
        <v>12</v>
      </c>
      <c r="E93" t="s">
        <v>13</v>
      </c>
      <c r="F93" t="s">
        <v>157</v>
      </c>
      <c r="G93">
        <v>0</v>
      </c>
      <c r="H93" t="s">
        <v>14</v>
      </c>
      <c r="I93" t="s">
        <v>58</v>
      </c>
      <c r="J93" s="2">
        <v>22.398014455402599</v>
      </c>
      <c r="K93" t="str">
        <f>CONCATENATE(C93," by ",E93," ", G93)</f>
        <v>Disadvantage Zone Home to Work Commute Time by Auto 0</v>
      </c>
      <c r="L93" t="s">
        <v>158</v>
      </c>
      <c r="M93" t="s">
        <v>159</v>
      </c>
      <c r="O93" t="s">
        <v>285</v>
      </c>
    </row>
    <row r="94" spans="1:15" x14ac:dyDescent="0.25">
      <c r="A94">
        <v>93</v>
      </c>
      <c r="B94" t="s">
        <v>10</v>
      </c>
      <c r="C94" t="s">
        <v>156</v>
      </c>
      <c r="D94" t="s">
        <v>12</v>
      </c>
      <c r="E94" t="s">
        <v>13</v>
      </c>
      <c r="F94" t="s">
        <v>157</v>
      </c>
      <c r="G94">
        <v>1</v>
      </c>
      <c r="H94" t="s">
        <v>14</v>
      </c>
      <c r="I94" t="s">
        <v>58</v>
      </c>
      <c r="J94" s="2">
        <v>18.975847175231401</v>
      </c>
      <c r="K94" t="str">
        <f t="shared" ref="K94:K112" si="1">CONCATENATE(C94," by ",E94," ", G94)</f>
        <v>Disadvantage Zone Home to Work Commute Time by Auto 1</v>
      </c>
      <c r="O94" t="s">
        <v>286</v>
      </c>
    </row>
    <row r="95" spans="1:15" x14ac:dyDescent="0.25">
      <c r="A95">
        <v>94</v>
      </c>
      <c r="B95" t="s">
        <v>10</v>
      </c>
      <c r="C95" t="s">
        <v>156</v>
      </c>
      <c r="D95" t="s">
        <v>12</v>
      </c>
      <c r="E95" t="s">
        <v>17</v>
      </c>
      <c r="F95" t="s">
        <v>157</v>
      </c>
      <c r="G95">
        <v>0</v>
      </c>
      <c r="H95" t="s">
        <v>14</v>
      </c>
      <c r="I95" t="s">
        <v>58</v>
      </c>
      <c r="J95" s="2">
        <v>26.821317523056699</v>
      </c>
      <c r="K95" t="str">
        <f t="shared" si="1"/>
        <v>Disadvantage Zone Home to Work Commute Time by Bike 0</v>
      </c>
      <c r="O95" t="s">
        <v>287</v>
      </c>
    </row>
    <row r="96" spans="1:15" x14ac:dyDescent="0.25">
      <c r="A96">
        <v>95</v>
      </c>
      <c r="B96" t="s">
        <v>10</v>
      </c>
      <c r="C96" t="s">
        <v>156</v>
      </c>
      <c r="D96" t="s">
        <v>12</v>
      </c>
      <c r="E96" t="s">
        <v>17</v>
      </c>
      <c r="F96" t="s">
        <v>157</v>
      </c>
      <c r="G96">
        <v>1</v>
      </c>
      <c r="H96" t="s">
        <v>14</v>
      </c>
      <c r="I96" t="s">
        <v>58</v>
      </c>
      <c r="J96" s="2">
        <v>26.356490384615402</v>
      </c>
      <c r="K96" t="str">
        <f t="shared" si="1"/>
        <v>Disadvantage Zone Home to Work Commute Time by Bike 1</v>
      </c>
      <c r="O96" t="s">
        <v>288</v>
      </c>
    </row>
    <row r="97" spans="1:15" x14ac:dyDescent="0.25">
      <c r="A97">
        <v>96</v>
      </c>
      <c r="B97" t="s">
        <v>10</v>
      </c>
      <c r="C97" t="s">
        <v>156</v>
      </c>
      <c r="D97" t="s">
        <v>12</v>
      </c>
      <c r="E97" t="s">
        <v>20</v>
      </c>
      <c r="F97" t="s">
        <v>157</v>
      </c>
      <c r="G97">
        <v>0</v>
      </c>
      <c r="H97" t="s">
        <v>14</v>
      </c>
      <c r="I97" t="s">
        <v>58</v>
      </c>
      <c r="J97" s="2">
        <v>2.5565000000000002</v>
      </c>
      <c r="K97" t="str">
        <f t="shared" si="1"/>
        <v>Disadvantage Zone Home to Work Commute Time by Taxi 0</v>
      </c>
      <c r="O97" t="s">
        <v>289</v>
      </c>
    </row>
    <row r="98" spans="1:15" x14ac:dyDescent="0.25">
      <c r="A98">
        <v>97</v>
      </c>
      <c r="B98" t="s">
        <v>10</v>
      </c>
      <c r="C98" t="s">
        <v>156</v>
      </c>
      <c r="D98" t="s">
        <v>12</v>
      </c>
      <c r="E98" t="s">
        <v>20</v>
      </c>
      <c r="F98" t="s">
        <v>157</v>
      </c>
      <c r="G98">
        <v>1</v>
      </c>
      <c r="H98" t="s">
        <v>14</v>
      </c>
      <c r="I98" t="s">
        <v>58</v>
      </c>
      <c r="J98" s="2">
        <v>2.2675000000000001</v>
      </c>
      <c r="K98" t="str">
        <f t="shared" si="1"/>
        <v>Disadvantage Zone Home to Work Commute Time by Taxi 1</v>
      </c>
      <c r="O98" t="s">
        <v>290</v>
      </c>
    </row>
    <row r="99" spans="1:15" x14ac:dyDescent="0.25">
      <c r="A99">
        <v>98</v>
      </c>
      <c r="B99" t="s">
        <v>10</v>
      </c>
      <c r="C99" t="s">
        <v>156</v>
      </c>
      <c r="D99" t="s">
        <v>12</v>
      </c>
      <c r="E99" t="s">
        <v>22</v>
      </c>
      <c r="F99" t="s">
        <v>157</v>
      </c>
      <c r="G99">
        <v>0</v>
      </c>
      <c r="H99" t="s">
        <v>14</v>
      </c>
      <c r="I99" t="s">
        <v>58</v>
      </c>
      <c r="J99" s="2">
        <v>61.557751479289898</v>
      </c>
      <c r="K99" t="str">
        <f t="shared" si="1"/>
        <v>Disadvantage Zone Home to Work Commute Time by Transit 0</v>
      </c>
      <c r="O99" t="s">
        <v>291</v>
      </c>
    </row>
    <row r="100" spans="1:15" x14ac:dyDescent="0.25">
      <c r="A100">
        <v>99</v>
      </c>
      <c r="B100" t="s">
        <v>10</v>
      </c>
      <c r="C100" t="s">
        <v>156</v>
      </c>
      <c r="D100" t="s">
        <v>12</v>
      </c>
      <c r="E100" t="s">
        <v>22</v>
      </c>
      <c r="F100" t="s">
        <v>157</v>
      </c>
      <c r="G100">
        <v>1</v>
      </c>
      <c r="H100" t="s">
        <v>14</v>
      </c>
      <c r="I100" t="s">
        <v>58</v>
      </c>
      <c r="J100" s="2">
        <v>60.552990196078397</v>
      </c>
      <c r="K100" t="str">
        <f t="shared" si="1"/>
        <v>Disadvantage Zone Home to Work Commute Time by Transit 1</v>
      </c>
      <c r="O100" t="s">
        <v>292</v>
      </c>
    </row>
    <row r="101" spans="1:15" x14ac:dyDescent="0.25">
      <c r="A101">
        <v>100</v>
      </c>
      <c r="B101" t="s">
        <v>10</v>
      </c>
      <c r="C101" t="s">
        <v>156</v>
      </c>
      <c r="D101" t="s">
        <v>12</v>
      </c>
      <c r="E101" t="s">
        <v>24</v>
      </c>
      <c r="F101" t="s">
        <v>157</v>
      </c>
      <c r="G101">
        <v>0</v>
      </c>
      <c r="H101" t="s">
        <v>14</v>
      </c>
      <c r="I101" t="s">
        <v>58</v>
      </c>
      <c r="J101" s="2">
        <v>19.1115329768271</v>
      </c>
      <c r="K101" t="str">
        <f t="shared" si="1"/>
        <v>Disadvantage Zone Home to Work Commute Time by Walk 0</v>
      </c>
      <c r="O101" t="s">
        <v>293</v>
      </c>
    </row>
    <row r="102" spans="1:15" x14ac:dyDescent="0.25">
      <c r="A102">
        <v>101</v>
      </c>
      <c r="B102" t="s">
        <v>10</v>
      </c>
      <c r="C102" t="s">
        <v>156</v>
      </c>
      <c r="D102" t="s">
        <v>12</v>
      </c>
      <c r="E102" t="s">
        <v>24</v>
      </c>
      <c r="F102" t="s">
        <v>157</v>
      </c>
      <c r="G102">
        <v>1</v>
      </c>
      <c r="H102" t="s">
        <v>14</v>
      </c>
      <c r="I102" t="s">
        <v>58</v>
      </c>
      <c r="J102" s="2">
        <v>22.611901260504201</v>
      </c>
      <c r="K102" t="str">
        <f t="shared" si="1"/>
        <v>Disadvantage Zone Home to Work Commute Time by Walk 1</v>
      </c>
      <c r="O102" t="s">
        <v>294</v>
      </c>
    </row>
    <row r="103" spans="1:15" s="1" customFormat="1" x14ac:dyDescent="0.25">
      <c r="A103">
        <v>102</v>
      </c>
      <c r="B103" s="1" t="s">
        <v>10</v>
      </c>
      <c r="C103" s="1" t="s">
        <v>160</v>
      </c>
      <c r="D103" s="1" t="s">
        <v>12</v>
      </c>
      <c r="E103" s="1" t="s">
        <v>13</v>
      </c>
      <c r="F103" s="1" t="s">
        <v>157</v>
      </c>
      <c r="G103" s="1">
        <v>0</v>
      </c>
      <c r="H103" s="1" t="s">
        <v>14</v>
      </c>
      <c r="I103" s="1" t="s">
        <v>58</v>
      </c>
      <c r="J103" s="3">
        <v>23.091283272524699</v>
      </c>
      <c r="K103" t="str">
        <f t="shared" si="1"/>
        <v>Disadvantage Zone Work to Home Commute Time by Auto 0</v>
      </c>
      <c r="O103" t="s">
        <v>295</v>
      </c>
    </row>
    <row r="104" spans="1:15" x14ac:dyDescent="0.25">
      <c r="A104">
        <v>103</v>
      </c>
      <c r="B104" t="s">
        <v>10</v>
      </c>
      <c r="C104" t="s">
        <v>160</v>
      </c>
      <c r="D104" t="s">
        <v>12</v>
      </c>
      <c r="E104" t="s">
        <v>13</v>
      </c>
      <c r="F104" t="s">
        <v>157</v>
      </c>
      <c r="G104">
        <v>1</v>
      </c>
      <c r="H104" t="s">
        <v>14</v>
      </c>
      <c r="I104" t="s">
        <v>58</v>
      </c>
      <c r="J104" s="2">
        <v>19.558915361066099</v>
      </c>
      <c r="K104" t="str">
        <f t="shared" si="1"/>
        <v>Disadvantage Zone Work to Home Commute Time by Auto 1</v>
      </c>
      <c r="O104" t="s">
        <v>296</v>
      </c>
    </row>
    <row r="105" spans="1:15" x14ac:dyDescent="0.25">
      <c r="A105">
        <v>104</v>
      </c>
      <c r="B105" t="s">
        <v>10</v>
      </c>
      <c r="C105" t="s">
        <v>160</v>
      </c>
      <c r="D105" t="s">
        <v>12</v>
      </c>
      <c r="E105" t="s">
        <v>17</v>
      </c>
      <c r="F105" t="s">
        <v>157</v>
      </c>
      <c r="G105">
        <v>0</v>
      </c>
      <c r="H105" t="s">
        <v>14</v>
      </c>
      <c r="I105" t="s">
        <v>58</v>
      </c>
      <c r="J105" s="2">
        <v>27.10585</v>
      </c>
      <c r="K105" t="str">
        <f t="shared" si="1"/>
        <v>Disadvantage Zone Work to Home Commute Time by Bike 0</v>
      </c>
      <c r="O105" t="s">
        <v>297</v>
      </c>
    </row>
    <row r="106" spans="1:15" x14ac:dyDescent="0.25">
      <c r="A106">
        <v>105</v>
      </c>
      <c r="B106" t="s">
        <v>10</v>
      </c>
      <c r="C106" t="s">
        <v>160</v>
      </c>
      <c r="D106" t="s">
        <v>12</v>
      </c>
      <c r="E106" t="s">
        <v>17</v>
      </c>
      <c r="F106" t="s">
        <v>157</v>
      </c>
      <c r="G106">
        <v>1</v>
      </c>
      <c r="H106" t="s">
        <v>14</v>
      </c>
      <c r="I106" t="s">
        <v>58</v>
      </c>
      <c r="J106" s="2">
        <v>26.885279411764699</v>
      </c>
      <c r="K106" t="str">
        <f t="shared" si="1"/>
        <v>Disadvantage Zone Work to Home Commute Time by Bike 1</v>
      </c>
      <c r="O106" t="s">
        <v>298</v>
      </c>
    </row>
    <row r="107" spans="1:15" x14ac:dyDescent="0.25">
      <c r="A107">
        <v>106</v>
      </c>
      <c r="B107" t="s">
        <v>10</v>
      </c>
      <c r="C107" t="s">
        <v>160</v>
      </c>
      <c r="D107" t="s">
        <v>12</v>
      </c>
      <c r="E107" t="s">
        <v>20</v>
      </c>
      <c r="F107" t="s">
        <v>157</v>
      </c>
      <c r="G107">
        <v>0</v>
      </c>
      <c r="H107" t="s">
        <v>14</v>
      </c>
      <c r="I107" t="s">
        <v>58</v>
      </c>
      <c r="J107" s="2">
        <v>2.5287500000000001</v>
      </c>
      <c r="K107" t="str">
        <f t="shared" si="1"/>
        <v>Disadvantage Zone Work to Home Commute Time by Taxi 0</v>
      </c>
      <c r="O107" t="s">
        <v>299</v>
      </c>
    </row>
    <row r="108" spans="1:15" x14ac:dyDescent="0.25">
      <c r="A108">
        <v>107</v>
      </c>
      <c r="B108" t="s">
        <v>10</v>
      </c>
      <c r="C108" t="s">
        <v>160</v>
      </c>
      <c r="D108" t="s">
        <v>12</v>
      </c>
      <c r="E108" t="s">
        <v>20</v>
      </c>
      <c r="F108" t="s">
        <v>157</v>
      </c>
      <c r="G108">
        <v>1</v>
      </c>
      <c r="H108" t="s">
        <v>14</v>
      </c>
      <c r="I108" t="s">
        <v>58</v>
      </c>
      <c r="J108" s="2">
        <v>2.2037499999999999</v>
      </c>
      <c r="K108" t="str">
        <f t="shared" si="1"/>
        <v>Disadvantage Zone Work to Home Commute Time by Taxi 1</v>
      </c>
      <c r="O108" t="s">
        <v>300</v>
      </c>
    </row>
    <row r="109" spans="1:15" x14ac:dyDescent="0.25">
      <c r="A109">
        <v>108</v>
      </c>
      <c r="B109" t="s">
        <v>10</v>
      </c>
      <c r="C109" t="s">
        <v>160</v>
      </c>
      <c r="D109" t="s">
        <v>12</v>
      </c>
      <c r="E109" t="s">
        <v>22</v>
      </c>
      <c r="F109" t="s">
        <v>157</v>
      </c>
      <c r="G109">
        <v>0</v>
      </c>
      <c r="H109" t="s">
        <v>14</v>
      </c>
      <c r="I109" t="s">
        <v>58</v>
      </c>
      <c r="J109" s="2">
        <v>62.428574490889602</v>
      </c>
      <c r="K109" t="str">
        <f t="shared" si="1"/>
        <v>Disadvantage Zone Work to Home Commute Time by Transit 0</v>
      </c>
      <c r="O109" t="s">
        <v>301</v>
      </c>
    </row>
    <row r="110" spans="1:15" x14ac:dyDescent="0.25">
      <c r="A110">
        <v>109</v>
      </c>
      <c r="B110" t="s">
        <v>10</v>
      </c>
      <c r="C110" t="s">
        <v>160</v>
      </c>
      <c r="D110" t="s">
        <v>12</v>
      </c>
      <c r="E110" t="s">
        <v>22</v>
      </c>
      <c r="F110" t="s">
        <v>157</v>
      </c>
      <c r="G110">
        <v>1</v>
      </c>
      <c r="H110" t="s">
        <v>14</v>
      </c>
      <c r="I110" t="s">
        <v>58</v>
      </c>
      <c r="J110" s="2">
        <v>60.792671319797002</v>
      </c>
      <c r="K110" t="str">
        <f t="shared" si="1"/>
        <v>Disadvantage Zone Work to Home Commute Time by Transit 1</v>
      </c>
      <c r="O110" t="s">
        <v>302</v>
      </c>
    </row>
    <row r="111" spans="1:15" x14ac:dyDescent="0.25">
      <c r="A111">
        <v>110</v>
      </c>
      <c r="B111" t="s">
        <v>10</v>
      </c>
      <c r="C111" t="s">
        <v>160</v>
      </c>
      <c r="D111" t="s">
        <v>12</v>
      </c>
      <c r="E111" t="s">
        <v>24</v>
      </c>
      <c r="F111" t="s">
        <v>157</v>
      </c>
      <c r="G111">
        <v>0</v>
      </c>
      <c r="H111" t="s">
        <v>14</v>
      </c>
      <c r="I111" t="s">
        <v>58</v>
      </c>
      <c r="J111" s="2">
        <v>18.503516483516499</v>
      </c>
      <c r="K111" t="str">
        <f t="shared" si="1"/>
        <v>Disadvantage Zone Work to Home Commute Time by Walk 0</v>
      </c>
      <c r="O111" t="s">
        <v>303</v>
      </c>
    </row>
    <row r="112" spans="1:15" x14ac:dyDescent="0.25">
      <c r="A112">
        <v>111</v>
      </c>
      <c r="B112" t="s">
        <v>10</v>
      </c>
      <c r="C112" t="s">
        <v>160</v>
      </c>
      <c r="D112" t="s">
        <v>12</v>
      </c>
      <c r="E112" t="s">
        <v>24</v>
      </c>
      <c r="F112" t="s">
        <v>157</v>
      </c>
      <c r="G112">
        <v>1</v>
      </c>
      <c r="H112" t="s">
        <v>14</v>
      </c>
      <c r="I112" t="s">
        <v>58</v>
      </c>
      <c r="J112" s="2">
        <v>21.976719319562601</v>
      </c>
      <c r="K112" t="str">
        <f t="shared" si="1"/>
        <v>Disadvantage Zone Work to Home Commute Time by Walk 1</v>
      </c>
      <c r="O112" t="s">
        <v>304</v>
      </c>
    </row>
    <row r="113" spans="1:15" x14ac:dyDescent="0.25">
      <c r="A113">
        <v>112</v>
      </c>
      <c r="B113" t="s">
        <v>10</v>
      </c>
      <c r="C113" t="s">
        <v>161</v>
      </c>
      <c r="D113" t="s">
        <v>12</v>
      </c>
      <c r="E113" t="s">
        <v>13</v>
      </c>
      <c r="F113" t="s">
        <v>157</v>
      </c>
      <c r="G113">
        <v>0</v>
      </c>
      <c r="H113" t="s">
        <v>14</v>
      </c>
      <c r="I113" t="s">
        <v>162</v>
      </c>
      <c r="J113" s="3">
        <v>87.088942151965895</v>
      </c>
      <c r="K113" t="str">
        <f>CONCATENATE(C113," by ",E113, " ", G113)</f>
        <v>Disadvantage Zone Average Travel Time per Household by Auto 0</v>
      </c>
      <c r="O113" t="s">
        <v>305</v>
      </c>
    </row>
    <row r="114" spans="1:15" x14ac:dyDescent="0.25">
      <c r="A114">
        <v>113</v>
      </c>
      <c r="B114" t="s">
        <v>10</v>
      </c>
      <c r="C114" t="s">
        <v>161</v>
      </c>
      <c r="D114" t="s">
        <v>12</v>
      </c>
      <c r="E114" t="s">
        <v>17</v>
      </c>
      <c r="F114" t="s">
        <v>157</v>
      </c>
      <c r="G114">
        <v>0</v>
      </c>
      <c r="H114" t="s">
        <v>14</v>
      </c>
      <c r="I114" t="s">
        <v>162</v>
      </c>
      <c r="J114" s="2">
        <v>1.8307099500524</v>
      </c>
      <c r="K114" t="str">
        <f t="shared" ref="K114:K136" si="2">CONCATENATE(C114," by ",E114, " ", G114)</f>
        <v>Disadvantage Zone Average Travel Time per Household by Bike 0</v>
      </c>
      <c r="O114" t="s">
        <v>306</v>
      </c>
    </row>
    <row r="115" spans="1:15" x14ac:dyDescent="0.25">
      <c r="A115">
        <v>114</v>
      </c>
      <c r="B115" t="s">
        <v>10</v>
      </c>
      <c r="C115" t="s">
        <v>161</v>
      </c>
      <c r="D115" t="s">
        <v>12</v>
      </c>
      <c r="E115" t="s">
        <v>19</v>
      </c>
      <c r="F115" t="s">
        <v>157</v>
      </c>
      <c r="G115">
        <v>0</v>
      </c>
      <c r="H115" t="s">
        <v>14</v>
      </c>
      <c r="I115" t="s">
        <v>162</v>
      </c>
      <c r="J115" s="2">
        <v>4.9719851109871103</v>
      </c>
      <c r="K115" t="str">
        <f t="shared" si="2"/>
        <v>Disadvantage Zone Average Travel Time per Household by SchoolBus 0</v>
      </c>
      <c r="O115" t="s">
        <v>307</v>
      </c>
    </row>
    <row r="116" spans="1:15" x14ac:dyDescent="0.25">
      <c r="A116">
        <v>115</v>
      </c>
      <c r="B116" t="s">
        <v>10</v>
      </c>
      <c r="C116" t="s">
        <v>161</v>
      </c>
      <c r="D116" t="s">
        <v>12</v>
      </c>
      <c r="E116" t="s">
        <v>20</v>
      </c>
      <c r="F116" t="s">
        <v>157</v>
      </c>
      <c r="G116">
        <v>0</v>
      </c>
      <c r="H116" t="s">
        <v>14</v>
      </c>
      <c r="I116" t="s">
        <v>162</v>
      </c>
      <c r="J116" s="4">
        <v>7.6518638485512505E-2</v>
      </c>
      <c r="K116" t="str">
        <f t="shared" si="2"/>
        <v>Disadvantage Zone Average Travel Time per Household by Taxi 0</v>
      </c>
      <c r="O116" t="s">
        <v>308</v>
      </c>
    </row>
    <row r="117" spans="1:15" x14ac:dyDescent="0.25">
      <c r="A117">
        <v>116</v>
      </c>
      <c r="B117" t="s">
        <v>10</v>
      </c>
      <c r="C117" t="s">
        <v>161</v>
      </c>
      <c r="D117" t="s">
        <v>12</v>
      </c>
      <c r="E117" t="s">
        <v>22</v>
      </c>
      <c r="F117" t="s">
        <v>157</v>
      </c>
      <c r="G117">
        <v>0</v>
      </c>
      <c r="H117" t="s">
        <v>14</v>
      </c>
      <c r="I117" t="s">
        <v>162</v>
      </c>
      <c r="J117" s="4">
        <v>2.6606960341331298</v>
      </c>
      <c r="K117" t="str">
        <f t="shared" si="2"/>
        <v>Disadvantage Zone Average Travel Time per Household by Transit 0</v>
      </c>
      <c r="O117" t="s">
        <v>309</v>
      </c>
    </row>
    <row r="118" spans="1:15" x14ac:dyDescent="0.25">
      <c r="A118">
        <v>117</v>
      </c>
      <c r="B118" t="s">
        <v>10</v>
      </c>
      <c r="C118" t="s">
        <v>161</v>
      </c>
      <c r="D118" t="s">
        <v>12</v>
      </c>
      <c r="E118" t="s">
        <v>24</v>
      </c>
      <c r="F118" t="s">
        <v>157</v>
      </c>
      <c r="G118">
        <v>0</v>
      </c>
      <c r="H118" t="s">
        <v>14</v>
      </c>
      <c r="I118" t="s">
        <v>162</v>
      </c>
      <c r="J118" s="2">
        <v>17.156362092899801</v>
      </c>
      <c r="K118" t="str">
        <f t="shared" si="2"/>
        <v>Disadvantage Zone Average Travel Time per Household by Walk 0</v>
      </c>
      <c r="O118" t="s">
        <v>310</v>
      </c>
    </row>
    <row r="119" spans="1:15" x14ac:dyDescent="0.25">
      <c r="A119">
        <v>118</v>
      </c>
      <c r="B119" t="s">
        <v>10</v>
      </c>
      <c r="C119" t="s">
        <v>161</v>
      </c>
      <c r="D119" t="s">
        <v>12</v>
      </c>
      <c r="E119" t="s">
        <v>13</v>
      </c>
      <c r="F119" t="s">
        <v>157</v>
      </c>
      <c r="G119">
        <v>1</v>
      </c>
      <c r="H119" t="s">
        <v>14</v>
      </c>
      <c r="I119" t="s">
        <v>162</v>
      </c>
      <c r="J119" s="3">
        <v>80.314465734055204</v>
      </c>
      <c r="K119" t="str">
        <f t="shared" si="2"/>
        <v>Disadvantage Zone Average Travel Time per Household by Auto 1</v>
      </c>
      <c r="O119" t="s">
        <v>311</v>
      </c>
    </row>
    <row r="120" spans="1:15" x14ac:dyDescent="0.25">
      <c r="A120">
        <v>119</v>
      </c>
      <c r="B120" t="s">
        <v>10</v>
      </c>
      <c r="C120" t="s">
        <v>161</v>
      </c>
      <c r="D120" t="s">
        <v>12</v>
      </c>
      <c r="E120" t="s">
        <v>17</v>
      </c>
      <c r="F120" t="s">
        <v>157</v>
      </c>
      <c r="G120">
        <v>1</v>
      </c>
      <c r="H120" t="s">
        <v>14</v>
      </c>
      <c r="I120" t="s">
        <v>162</v>
      </c>
      <c r="J120" s="2">
        <v>2.5387206158639999</v>
      </c>
      <c r="K120" t="str">
        <f t="shared" si="2"/>
        <v>Disadvantage Zone Average Travel Time per Household by Bike 1</v>
      </c>
      <c r="O120" t="s">
        <v>312</v>
      </c>
    </row>
    <row r="121" spans="1:15" x14ac:dyDescent="0.25">
      <c r="A121">
        <v>120</v>
      </c>
      <c r="B121" t="s">
        <v>10</v>
      </c>
      <c r="C121" t="s">
        <v>161</v>
      </c>
      <c r="D121" t="s">
        <v>12</v>
      </c>
      <c r="E121" t="s">
        <v>19</v>
      </c>
      <c r="F121" t="s">
        <v>157</v>
      </c>
      <c r="G121">
        <v>1</v>
      </c>
      <c r="H121" t="s">
        <v>14</v>
      </c>
      <c r="I121" t="s">
        <v>162</v>
      </c>
      <c r="J121" s="2">
        <v>7.3325689803025602</v>
      </c>
      <c r="K121" t="str">
        <f t="shared" si="2"/>
        <v>Disadvantage Zone Average Travel Time per Household by SchoolBus 1</v>
      </c>
      <c r="O121" t="s">
        <v>313</v>
      </c>
    </row>
    <row r="122" spans="1:15" x14ac:dyDescent="0.25">
      <c r="A122">
        <v>121</v>
      </c>
      <c r="B122" t="s">
        <v>10</v>
      </c>
      <c r="C122" t="s">
        <v>161</v>
      </c>
      <c r="D122" t="s">
        <v>12</v>
      </c>
      <c r="E122" t="s">
        <v>20</v>
      </c>
      <c r="F122" t="s">
        <v>157</v>
      </c>
      <c r="G122">
        <v>1</v>
      </c>
      <c r="H122" t="s">
        <v>14</v>
      </c>
      <c r="I122" t="s">
        <v>162</v>
      </c>
      <c r="J122" s="2">
        <v>4.8695936790149302E-2</v>
      </c>
      <c r="K122" t="str">
        <f t="shared" si="2"/>
        <v>Disadvantage Zone Average Travel Time per Household by Taxi 1</v>
      </c>
      <c r="O122" t="s">
        <v>314</v>
      </c>
    </row>
    <row r="123" spans="1:15" x14ac:dyDescent="0.25">
      <c r="A123">
        <v>122</v>
      </c>
      <c r="B123" t="s">
        <v>10</v>
      </c>
      <c r="C123" t="s">
        <v>161</v>
      </c>
      <c r="D123" t="s">
        <v>12</v>
      </c>
      <c r="E123" t="s">
        <v>22</v>
      </c>
      <c r="F123" t="s">
        <v>157</v>
      </c>
      <c r="G123">
        <v>1</v>
      </c>
      <c r="H123" t="s">
        <v>14</v>
      </c>
      <c r="I123" t="s">
        <v>162</v>
      </c>
      <c r="J123" s="2">
        <v>5.11861895379056</v>
      </c>
      <c r="K123" t="str">
        <f t="shared" si="2"/>
        <v>Disadvantage Zone Average Travel Time per Household by Transit 1</v>
      </c>
      <c r="O123" t="s">
        <v>315</v>
      </c>
    </row>
    <row r="124" spans="1:15" x14ac:dyDescent="0.25">
      <c r="A124">
        <v>123</v>
      </c>
      <c r="B124" t="s">
        <v>10</v>
      </c>
      <c r="C124" t="s">
        <v>161</v>
      </c>
      <c r="D124" t="s">
        <v>12</v>
      </c>
      <c r="E124" t="s">
        <v>24</v>
      </c>
      <c r="F124" t="s">
        <v>157</v>
      </c>
      <c r="G124">
        <v>1</v>
      </c>
      <c r="H124" t="s">
        <v>14</v>
      </c>
      <c r="I124" t="s">
        <v>162</v>
      </c>
      <c r="J124" s="2">
        <v>20.565451587774401</v>
      </c>
      <c r="K124" t="str">
        <f t="shared" si="2"/>
        <v>Disadvantage Zone Average Travel Time per Household by Walk 1</v>
      </c>
      <c r="O124" t="s">
        <v>316</v>
      </c>
    </row>
    <row r="125" spans="1:15" x14ac:dyDescent="0.25">
      <c r="A125">
        <v>124</v>
      </c>
      <c r="B125" t="s">
        <v>10</v>
      </c>
      <c r="C125" t="s">
        <v>163</v>
      </c>
      <c r="D125" t="s">
        <v>12</v>
      </c>
      <c r="E125" t="s">
        <v>13</v>
      </c>
      <c r="F125" t="s">
        <v>157</v>
      </c>
      <c r="G125">
        <v>0</v>
      </c>
      <c r="H125" t="s">
        <v>14</v>
      </c>
      <c r="I125" t="s">
        <v>164</v>
      </c>
      <c r="J125" s="2">
        <v>37.393480879697499</v>
      </c>
      <c r="K125" t="str">
        <f t="shared" si="2"/>
        <v>Disadvantage Zone Average Travel Time per Person by Auto 0</v>
      </c>
      <c r="O125" t="s">
        <v>317</v>
      </c>
    </row>
    <row r="126" spans="1:15" x14ac:dyDescent="0.25">
      <c r="A126">
        <v>125</v>
      </c>
      <c r="B126" t="s">
        <v>10</v>
      </c>
      <c r="C126" t="s">
        <v>163</v>
      </c>
      <c r="D126" t="s">
        <v>12</v>
      </c>
      <c r="E126" t="s">
        <v>17</v>
      </c>
      <c r="F126" t="s">
        <v>157</v>
      </c>
      <c r="G126">
        <v>0</v>
      </c>
      <c r="H126" t="s">
        <v>14</v>
      </c>
      <c r="I126" t="s">
        <v>164</v>
      </c>
      <c r="J126" s="2">
        <v>0.78605407095315205</v>
      </c>
      <c r="K126" t="str">
        <f t="shared" si="2"/>
        <v>Disadvantage Zone Average Travel Time per Person by Bike 0</v>
      </c>
      <c r="O126" t="s">
        <v>318</v>
      </c>
    </row>
    <row r="127" spans="1:15" x14ac:dyDescent="0.25">
      <c r="A127">
        <v>126</v>
      </c>
      <c r="B127" t="s">
        <v>10</v>
      </c>
      <c r="C127" t="s">
        <v>163</v>
      </c>
      <c r="D127" t="s">
        <v>12</v>
      </c>
      <c r="E127" t="s">
        <v>19</v>
      </c>
      <c r="F127" t="s">
        <v>157</v>
      </c>
      <c r="G127">
        <v>0</v>
      </c>
      <c r="H127" t="s">
        <v>14</v>
      </c>
      <c r="I127" t="s">
        <v>164</v>
      </c>
      <c r="J127" s="2">
        <v>2.1348270582666702</v>
      </c>
      <c r="K127" t="str">
        <f t="shared" si="2"/>
        <v>Disadvantage Zone Average Travel Time per Person by SchoolBus 0</v>
      </c>
      <c r="O127" t="s">
        <v>319</v>
      </c>
    </row>
    <row r="128" spans="1:15" x14ac:dyDescent="0.25">
      <c r="A128">
        <v>127</v>
      </c>
      <c r="B128" t="s">
        <v>10</v>
      </c>
      <c r="C128" t="s">
        <v>163</v>
      </c>
      <c r="D128" t="s">
        <v>12</v>
      </c>
      <c r="E128" t="s">
        <v>20</v>
      </c>
      <c r="F128" t="s">
        <v>157</v>
      </c>
      <c r="G128">
        <v>0</v>
      </c>
      <c r="H128" t="s">
        <v>14</v>
      </c>
      <c r="I128" t="s">
        <v>164</v>
      </c>
      <c r="J128" s="2">
        <v>3.2854897240061499E-2</v>
      </c>
      <c r="K128" t="str">
        <f t="shared" si="2"/>
        <v>Disadvantage Zone Average Travel Time per Person by Taxi 0</v>
      </c>
      <c r="O128" t="s">
        <v>320</v>
      </c>
    </row>
    <row r="129" spans="1:15" x14ac:dyDescent="0.25">
      <c r="A129">
        <v>128</v>
      </c>
      <c r="B129" t="s">
        <v>10</v>
      </c>
      <c r="C129" t="s">
        <v>163</v>
      </c>
      <c r="D129" t="s">
        <v>12</v>
      </c>
      <c r="E129" t="s">
        <v>22</v>
      </c>
      <c r="F129" t="s">
        <v>157</v>
      </c>
      <c r="G129">
        <v>0</v>
      </c>
      <c r="H129" t="s">
        <v>14</v>
      </c>
      <c r="I129" t="s">
        <v>164</v>
      </c>
      <c r="J129" s="2">
        <v>1.1424261659469299</v>
      </c>
      <c r="K129" t="str">
        <f t="shared" si="2"/>
        <v>Disadvantage Zone Average Travel Time per Person by Transit 0</v>
      </c>
      <c r="O129" t="s">
        <v>321</v>
      </c>
    </row>
    <row r="130" spans="1:15" x14ac:dyDescent="0.25">
      <c r="A130">
        <v>129</v>
      </c>
      <c r="B130" t="s">
        <v>10</v>
      </c>
      <c r="C130" t="s">
        <v>163</v>
      </c>
      <c r="D130" t="s">
        <v>12</v>
      </c>
      <c r="E130" t="s">
        <v>24</v>
      </c>
      <c r="F130" t="s">
        <v>157</v>
      </c>
      <c r="G130">
        <v>0</v>
      </c>
      <c r="H130" t="s">
        <v>14</v>
      </c>
      <c r="I130" t="s">
        <v>164</v>
      </c>
      <c r="J130" s="2">
        <v>7.3664472438598203</v>
      </c>
      <c r="K130" t="str">
        <f t="shared" si="2"/>
        <v>Disadvantage Zone Average Travel Time per Person by Walk 0</v>
      </c>
      <c r="O130" t="s">
        <v>322</v>
      </c>
    </row>
    <row r="131" spans="1:15" x14ac:dyDescent="0.25">
      <c r="A131">
        <v>130</v>
      </c>
      <c r="B131" t="s">
        <v>10</v>
      </c>
      <c r="C131" t="s">
        <v>163</v>
      </c>
      <c r="D131" t="s">
        <v>12</v>
      </c>
      <c r="E131" t="s">
        <v>13</v>
      </c>
      <c r="F131" t="s">
        <v>157</v>
      </c>
      <c r="G131">
        <v>1</v>
      </c>
      <c r="H131" t="s">
        <v>14</v>
      </c>
      <c r="I131" t="s">
        <v>164</v>
      </c>
      <c r="J131" s="2">
        <v>32.638087244751397</v>
      </c>
      <c r="K131" t="str">
        <f t="shared" si="2"/>
        <v>Disadvantage Zone Average Travel Time per Person by Auto 1</v>
      </c>
      <c r="O131" t="s">
        <v>323</v>
      </c>
    </row>
    <row r="132" spans="1:15" x14ac:dyDescent="0.25">
      <c r="A132">
        <v>131</v>
      </c>
      <c r="B132" t="s">
        <v>10</v>
      </c>
      <c r="C132" t="s">
        <v>163</v>
      </c>
      <c r="D132" t="s">
        <v>12</v>
      </c>
      <c r="E132" t="s">
        <v>17</v>
      </c>
      <c r="F132" t="s">
        <v>157</v>
      </c>
      <c r="G132">
        <v>1</v>
      </c>
      <c r="H132" t="s">
        <v>14</v>
      </c>
      <c r="I132" t="s">
        <v>164</v>
      </c>
      <c r="J132" s="2">
        <v>1.0316819540951501</v>
      </c>
      <c r="K132" t="str">
        <f t="shared" si="2"/>
        <v>Disadvantage Zone Average Travel Time per Person by Bike 1</v>
      </c>
      <c r="O132" t="s">
        <v>324</v>
      </c>
    </row>
    <row r="133" spans="1:15" x14ac:dyDescent="0.25">
      <c r="A133">
        <v>132</v>
      </c>
      <c r="B133" t="s">
        <v>10</v>
      </c>
      <c r="C133" t="s">
        <v>163</v>
      </c>
      <c r="D133" t="s">
        <v>12</v>
      </c>
      <c r="E133" t="s">
        <v>19</v>
      </c>
      <c r="F133" t="s">
        <v>157</v>
      </c>
      <c r="G133">
        <v>1</v>
      </c>
      <c r="H133" t="s">
        <v>14</v>
      </c>
      <c r="I133" t="s">
        <v>164</v>
      </c>
      <c r="J133" s="2">
        <v>2.9797997648360801</v>
      </c>
      <c r="K133" t="str">
        <f t="shared" si="2"/>
        <v>Disadvantage Zone Average Travel Time per Person by SchoolBus 1</v>
      </c>
      <c r="O133" t="s">
        <v>325</v>
      </c>
    </row>
    <row r="134" spans="1:15" x14ac:dyDescent="0.25">
      <c r="A134">
        <v>133</v>
      </c>
      <c r="B134" t="s">
        <v>10</v>
      </c>
      <c r="C134" t="s">
        <v>163</v>
      </c>
      <c r="D134" t="s">
        <v>12</v>
      </c>
      <c r="E134" t="s">
        <v>20</v>
      </c>
      <c r="F134" t="s">
        <v>157</v>
      </c>
      <c r="G134">
        <v>1</v>
      </c>
      <c r="H134" t="s">
        <v>14</v>
      </c>
      <c r="I134" t="s">
        <v>164</v>
      </c>
      <c r="J134" s="2">
        <v>1.9788990923311E-2</v>
      </c>
      <c r="K134" t="str">
        <f t="shared" si="2"/>
        <v>Disadvantage Zone Average Travel Time per Person by Taxi 1</v>
      </c>
      <c r="O134" t="s">
        <v>326</v>
      </c>
    </row>
    <row r="135" spans="1:15" x14ac:dyDescent="0.25">
      <c r="A135">
        <v>134</v>
      </c>
      <c r="B135" t="s">
        <v>10</v>
      </c>
      <c r="C135" t="s">
        <v>163</v>
      </c>
      <c r="D135" t="s">
        <v>12</v>
      </c>
      <c r="E135" t="s">
        <v>22</v>
      </c>
      <c r="F135" t="s">
        <v>157</v>
      </c>
      <c r="G135">
        <v>1</v>
      </c>
      <c r="H135" t="s">
        <v>14</v>
      </c>
      <c r="I135" t="s">
        <v>164</v>
      </c>
      <c r="J135" s="2">
        <v>2.0800976568734901</v>
      </c>
      <c r="K135" t="str">
        <f t="shared" si="2"/>
        <v>Disadvantage Zone Average Travel Time per Person by Transit 1</v>
      </c>
      <c r="O135" t="s">
        <v>327</v>
      </c>
    </row>
    <row r="136" spans="1:15" x14ac:dyDescent="0.25">
      <c r="A136">
        <v>135</v>
      </c>
      <c r="B136" t="s">
        <v>10</v>
      </c>
      <c r="C136" t="s">
        <v>163</v>
      </c>
      <c r="D136" t="s">
        <v>12</v>
      </c>
      <c r="E136" t="s">
        <v>24</v>
      </c>
      <c r="F136" t="s">
        <v>157</v>
      </c>
      <c r="G136">
        <v>1</v>
      </c>
      <c r="H136" t="s">
        <v>14</v>
      </c>
      <c r="I136" t="s">
        <v>164</v>
      </c>
      <c r="J136" s="2">
        <v>8.3573612426444797</v>
      </c>
      <c r="K136" t="str">
        <f t="shared" si="2"/>
        <v>Disadvantage Zone Average Travel Time per Person by Walk 1</v>
      </c>
      <c r="O136" t="s">
        <v>328</v>
      </c>
    </row>
    <row r="137" spans="1:15" x14ac:dyDescent="0.25">
      <c r="A137">
        <v>136</v>
      </c>
      <c r="B137" t="s">
        <v>10</v>
      </c>
      <c r="C137" t="s">
        <v>165</v>
      </c>
      <c r="D137" t="s">
        <v>12</v>
      </c>
      <c r="E137" t="s">
        <v>13</v>
      </c>
      <c r="F137" t="s">
        <v>157</v>
      </c>
      <c r="G137">
        <v>0</v>
      </c>
      <c r="H137" t="s">
        <v>14</v>
      </c>
      <c r="I137" t="s">
        <v>166</v>
      </c>
      <c r="J137" s="2">
        <v>43.079351089456601</v>
      </c>
      <c r="K137" t="str">
        <f>CONCATENATE(C137," by ",E137, " ", G137)</f>
        <v>Disadvantage Zone Average Travel Distance per Household by Auto 0</v>
      </c>
      <c r="O137" t="s">
        <v>329</v>
      </c>
    </row>
    <row r="138" spans="1:15" x14ac:dyDescent="0.25">
      <c r="A138">
        <v>137</v>
      </c>
      <c r="B138" t="s">
        <v>10</v>
      </c>
      <c r="C138" t="s">
        <v>165</v>
      </c>
      <c r="D138" t="s">
        <v>12</v>
      </c>
      <c r="E138" t="s">
        <v>17</v>
      </c>
      <c r="F138" t="s">
        <v>157</v>
      </c>
      <c r="G138">
        <v>0</v>
      </c>
      <c r="H138" t="s">
        <v>14</v>
      </c>
      <c r="I138" t="s">
        <v>166</v>
      </c>
      <c r="J138" s="2">
        <v>0.36291907671788498</v>
      </c>
      <c r="K138" t="str">
        <f t="shared" ref="K138:K160" si="3">CONCATENATE(C138," by ",E138, " ", G138)</f>
        <v>Disadvantage Zone Average Travel Distance per Household by Bike 0</v>
      </c>
      <c r="O138" t="s">
        <v>330</v>
      </c>
    </row>
    <row r="139" spans="1:15" x14ac:dyDescent="0.25">
      <c r="A139">
        <v>138</v>
      </c>
      <c r="B139" t="s">
        <v>10</v>
      </c>
      <c r="C139" t="s">
        <v>165</v>
      </c>
      <c r="D139" t="s">
        <v>12</v>
      </c>
      <c r="E139" t="s">
        <v>19</v>
      </c>
      <c r="F139" t="s">
        <v>157</v>
      </c>
      <c r="G139">
        <v>0</v>
      </c>
      <c r="H139" t="s">
        <v>14</v>
      </c>
      <c r="I139" t="s">
        <v>166</v>
      </c>
      <c r="J139" s="2">
        <v>0.81526225893817095</v>
      </c>
      <c r="K139" t="str">
        <f t="shared" si="3"/>
        <v>Disadvantage Zone Average Travel Distance per Household by SchoolBus 0</v>
      </c>
      <c r="O139" t="s">
        <v>331</v>
      </c>
    </row>
    <row r="140" spans="1:15" x14ac:dyDescent="0.25">
      <c r="A140">
        <v>139</v>
      </c>
      <c r="B140" t="s">
        <v>10</v>
      </c>
      <c r="C140" t="s">
        <v>165</v>
      </c>
      <c r="D140" t="s">
        <v>12</v>
      </c>
      <c r="E140" t="s">
        <v>20</v>
      </c>
      <c r="F140" t="s">
        <v>157</v>
      </c>
      <c r="G140">
        <v>0</v>
      </c>
      <c r="H140" t="s">
        <v>14</v>
      </c>
      <c r="I140" t="s">
        <v>166</v>
      </c>
      <c r="J140" s="2">
        <v>3.4061372946636401E-2</v>
      </c>
      <c r="K140" t="str">
        <f t="shared" si="3"/>
        <v>Disadvantage Zone Average Travel Distance per Household by Taxi 0</v>
      </c>
      <c r="O140" t="s">
        <v>332</v>
      </c>
    </row>
    <row r="141" spans="1:15" x14ac:dyDescent="0.25">
      <c r="A141">
        <v>140</v>
      </c>
      <c r="B141" t="s">
        <v>10</v>
      </c>
      <c r="C141" t="s">
        <v>165</v>
      </c>
      <c r="D141" t="s">
        <v>12</v>
      </c>
      <c r="E141" t="s">
        <v>22</v>
      </c>
      <c r="F141" t="s">
        <v>157</v>
      </c>
      <c r="G141">
        <v>0</v>
      </c>
      <c r="H141" t="s">
        <v>14</v>
      </c>
      <c r="I141" t="s">
        <v>166</v>
      </c>
      <c r="J141" s="2">
        <v>0.35228302734188899</v>
      </c>
      <c r="K141" t="str">
        <f t="shared" si="3"/>
        <v>Disadvantage Zone Average Travel Distance per Household by Transit 0</v>
      </c>
      <c r="O141" t="s">
        <v>333</v>
      </c>
    </row>
    <row r="142" spans="1:15" x14ac:dyDescent="0.25">
      <c r="A142">
        <v>141</v>
      </c>
      <c r="B142" t="s">
        <v>10</v>
      </c>
      <c r="C142" t="s">
        <v>165</v>
      </c>
      <c r="D142" t="s">
        <v>12</v>
      </c>
      <c r="E142" t="s">
        <v>24</v>
      </c>
      <c r="F142" t="s">
        <v>157</v>
      </c>
      <c r="G142">
        <v>0</v>
      </c>
      <c r="H142" t="s">
        <v>14</v>
      </c>
      <c r="I142" t="s">
        <v>166</v>
      </c>
      <c r="J142" s="2">
        <v>0.856261619282224</v>
      </c>
      <c r="K142" t="str">
        <f t="shared" si="3"/>
        <v>Disadvantage Zone Average Travel Distance per Household by Walk 0</v>
      </c>
      <c r="O142" t="s">
        <v>334</v>
      </c>
    </row>
    <row r="143" spans="1:15" x14ac:dyDescent="0.25">
      <c r="A143">
        <v>142</v>
      </c>
      <c r="B143" t="s">
        <v>10</v>
      </c>
      <c r="C143" t="s">
        <v>165</v>
      </c>
      <c r="D143" t="s">
        <v>12</v>
      </c>
      <c r="E143" t="s">
        <v>13</v>
      </c>
      <c r="F143" t="s">
        <v>157</v>
      </c>
      <c r="G143">
        <v>1</v>
      </c>
      <c r="H143" t="s">
        <v>14</v>
      </c>
      <c r="I143" t="s">
        <v>166</v>
      </c>
      <c r="J143" s="2">
        <v>37.533180785671703</v>
      </c>
      <c r="K143" t="str">
        <f t="shared" si="3"/>
        <v>Disadvantage Zone Average Travel Distance per Household by Auto 1</v>
      </c>
      <c r="O143" t="s">
        <v>335</v>
      </c>
    </row>
    <row r="144" spans="1:15" x14ac:dyDescent="0.25">
      <c r="A144">
        <v>143</v>
      </c>
      <c r="B144" t="s">
        <v>10</v>
      </c>
      <c r="C144" t="s">
        <v>165</v>
      </c>
      <c r="D144" t="s">
        <v>12</v>
      </c>
      <c r="E144" t="s">
        <v>17</v>
      </c>
      <c r="F144" t="s">
        <v>157</v>
      </c>
      <c r="G144">
        <v>1</v>
      </c>
      <c r="H144" t="s">
        <v>14</v>
      </c>
      <c r="I144" t="s">
        <v>166</v>
      </c>
      <c r="J144" s="2">
        <v>0.50231099560751802</v>
      </c>
      <c r="K144" t="str">
        <f t="shared" si="3"/>
        <v>Disadvantage Zone Average Travel Distance per Household by Bike 1</v>
      </c>
      <c r="O144" t="s">
        <v>336</v>
      </c>
    </row>
    <row r="145" spans="1:15" x14ac:dyDescent="0.25">
      <c r="A145">
        <v>144</v>
      </c>
      <c r="B145" t="s">
        <v>10</v>
      </c>
      <c r="C145" t="s">
        <v>165</v>
      </c>
      <c r="D145" t="s">
        <v>12</v>
      </c>
      <c r="E145" t="s">
        <v>19</v>
      </c>
      <c r="F145" t="s">
        <v>157</v>
      </c>
      <c r="G145">
        <v>1</v>
      </c>
      <c r="H145" t="s">
        <v>14</v>
      </c>
      <c r="I145" t="s">
        <v>166</v>
      </c>
      <c r="J145" s="2">
        <v>1.1901747173689601</v>
      </c>
      <c r="K145" t="str">
        <f t="shared" si="3"/>
        <v>Disadvantage Zone Average Travel Distance per Household by SchoolBus 1</v>
      </c>
      <c r="O145" t="s">
        <v>337</v>
      </c>
    </row>
    <row r="146" spans="1:15" x14ac:dyDescent="0.25">
      <c r="A146">
        <v>145</v>
      </c>
      <c r="B146" t="s">
        <v>10</v>
      </c>
      <c r="C146" t="s">
        <v>165</v>
      </c>
      <c r="D146" t="s">
        <v>12</v>
      </c>
      <c r="E146" t="s">
        <v>20</v>
      </c>
      <c r="F146" t="s">
        <v>157</v>
      </c>
      <c r="G146">
        <v>1</v>
      </c>
      <c r="H146" t="s">
        <v>14</v>
      </c>
      <c r="I146" t="s">
        <v>166</v>
      </c>
      <c r="J146" s="2">
        <v>2.06309201955997E-2</v>
      </c>
      <c r="K146" t="str">
        <f t="shared" si="3"/>
        <v>Disadvantage Zone Average Travel Distance per Household by Taxi 1</v>
      </c>
      <c r="O146" t="s">
        <v>338</v>
      </c>
    </row>
    <row r="147" spans="1:15" x14ac:dyDescent="0.25">
      <c r="A147">
        <v>146</v>
      </c>
      <c r="B147" t="s">
        <v>10</v>
      </c>
      <c r="C147" t="s">
        <v>165</v>
      </c>
      <c r="D147" t="s">
        <v>12</v>
      </c>
      <c r="E147" t="s">
        <v>22</v>
      </c>
      <c r="F147" t="s">
        <v>157</v>
      </c>
      <c r="G147">
        <v>1</v>
      </c>
      <c r="H147" t="s">
        <v>14</v>
      </c>
      <c r="I147" t="s">
        <v>166</v>
      </c>
      <c r="J147" s="2">
        <v>0.62364844430188304</v>
      </c>
      <c r="K147" t="str">
        <f t="shared" si="3"/>
        <v>Disadvantage Zone Average Travel Distance per Household by Transit 1</v>
      </c>
      <c r="O147" t="s">
        <v>339</v>
      </c>
    </row>
    <row r="148" spans="1:15" x14ac:dyDescent="0.25">
      <c r="A148">
        <v>147</v>
      </c>
      <c r="B148" t="s">
        <v>10</v>
      </c>
      <c r="C148" t="s">
        <v>165</v>
      </c>
      <c r="D148" t="s">
        <v>12</v>
      </c>
      <c r="E148" t="s">
        <v>24</v>
      </c>
      <c r="F148" t="s">
        <v>157</v>
      </c>
      <c r="G148">
        <v>1</v>
      </c>
      <c r="H148" t="s">
        <v>14</v>
      </c>
      <c r="I148" t="s">
        <v>166</v>
      </c>
      <c r="J148" s="2">
        <v>1.02373288993919</v>
      </c>
      <c r="K148" t="str">
        <f t="shared" si="3"/>
        <v>Disadvantage Zone Average Travel Distance per Household by Walk 1</v>
      </c>
      <c r="O148" t="s">
        <v>340</v>
      </c>
    </row>
    <row r="149" spans="1:15" x14ac:dyDescent="0.25">
      <c r="A149">
        <v>148</v>
      </c>
      <c r="B149" t="s">
        <v>10</v>
      </c>
      <c r="C149" t="s">
        <v>167</v>
      </c>
      <c r="D149" t="s">
        <v>12</v>
      </c>
      <c r="E149" t="s">
        <v>13</v>
      </c>
      <c r="F149" t="s">
        <v>157</v>
      </c>
      <c r="G149">
        <v>0</v>
      </c>
      <c r="H149" t="s">
        <v>14</v>
      </c>
      <c r="I149" t="s">
        <v>168</v>
      </c>
      <c r="J149" s="2">
        <v>18.4970313276105</v>
      </c>
      <c r="K149" t="str">
        <f t="shared" si="3"/>
        <v>Disadvantage Zone Average Travel Distance per Person by Auto 0</v>
      </c>
      <c r="O149" t="s">
        <v>341</v>
      </c>
    </row>
    <row r="150" spans="1:15" x14ac:dyDescent="0.25">
      <c r="A150">
        <v>149</v>
      </c>
      <c r="B150" t="s">
        <v>10</v>
      </c>
      <c r="C150" t="s">
        <v>167</v>
      </c>
      <c r="D150" t="s">
        <v>12</v>
      </c>
      <c r="E150" t="s">
        <v>17</v>
      </c>
      <c r="F150" t="s">
        <v>157</v>
      </c>
      <c r="G150">
        <v>0</v>
      </c>
      <c r="H150" t="s">
        <v>14</v>
      </c>
      <c r="I150" t="s">
        <v>168</v>
      </c>
      <c r="J150" s="2">
        <v>0.155826988143309</v>
      </c>
      <c r="K150" t="str">
        <f t="shared" si="3"/>
        <v>Disadvantage Zone Average Travel Distance per Person by Bike 0</v>
      </c>
      <c r="O150" t="s">
        <v>342</v>
      </c>
    </row>
    <row r="151" spans="1:15" x14ac:dyDescent="0.25">
      <c r="A151">
        <v>150</v>
      </c>
      <c r="B151" t="s">
        <v>10</v>
      </c>
      <c r="C151" t="s">
        <v>167</v>
      </c>
      <c r="D151" t="s">
        <v>12</v>
      </c>
      <c r="E151" t="s">
        <v>19</v>
      </c>
      <c r="F151" t="s">
        <v>157</v>
      </c>
      <c r="G151">
        <v>0</v>
      </c>
      <c r="H151" t="s">
        <v>14</v>
      </c>
      <c r="I151" t="s">
        <v>168</v>
      </c>
      <c r="J151" s="2">
        <v>0.35005010898338701</v>
      </c>
      <c r="K151" t="str">
        <f t="shared" si="3"/>
        <v>Disadvantage Zone Average Travel Distance per Person by SchoolBus 0</v>
      </c>
      <c r="O151" t="s">
        <v>343</v>
      </c>
    </row>
    <row r="152" spans="1:15" x14ac:dyDescent="0.25">
      <c r="A152">
        <v>151</v>
      </c>
      <c r="B152" t="s">
        <v>10</v>
      </c>
      <c r="C152" t="s">
        <v>167</v>
      </c>
      <c r="D152" t="s">
        <v>12</v>
      </c>
      <c r="E152" t="s">
        <v>20</v>
      </c>
      <c r="F152" t="s">
        <v>157</v>
      </c>
      <c r="G152">
        <v>0</v>
      </c>
      <c r="H152" t="s">
        <v>14</v>
      </c>
      <c r="I152" t="s">
        <v>168</v>
      </c>
      <c r="J152" s="2">
        <v>1.4624971512385501E-2</v>
      </c>
      <c r="K152" t="str">
        <f t="shared" si="3"/>
        <v>Disadvantage Zone Average Travel Distance per Person by Taxi 0</v>
      </c>
      <c r="O152" t="s">
        <v>344</v>
      </c>
    </row>
    <row r="153" spans="1:15" x14ac:dyDescent="0.25">
      <c r="A153">
        <v>152</v>
      </c>
      <c r="B153" t="s">
        <v>10</v>
      </c>
      <c r="C153" t="s">
        <v>167</v>
      </c>
      <c r="D153" t="s">
        <v>12</v>
      </c>
      <c r="E153" t="s">
        <v>22</v>
      </c>
      <c r="F153" t="s">
        <v>157</v>
      </c>
      <c r="G153">
        <v>0</v>
      </c>
      <c r="H153" t="s">
        <v>14</v>
      </c>
      <c r="I153" t="s">
        <v>168</v>
      </c>
      <c r="J153" s="2">
        <v>0.15126017519152399</v>
      </c>
      <c r="K153" t="str">
        <f t="shared" si="3"/>
        <v>Disadvantage Zone Average Travel Distance per Person by Transit 0</v>
      </c>
      <c r="O153" t="s">
        <v>345</v>
      </c>
    </row>
    <row r="154" spans="1:15" x14ac:dyDescent="0.25">
      <c r="A154">
        <v>153</v>
      </c>
      <c r="B154" t="s">
        <v>10</v>
      </c>
      <c r="C154" t="s">
        <v>167</v>
      </c>
      <c r="D154" t="s">
        <v>12</v>
      </c>
      <c r="E154" t="s">
        <v>24</v>
      </c>
      <c r="F154" t="s">
        <v>157</v>
      </c>
      <c r="G154">
        <v>0</v>
      </c>
      <c r="H154" t="s">
        <v>14</v>
      </c>
      <c r="I154" t="s">
        <v>168</v>
      </c>
      <c r="J154" s="2">
        <v>0.36765405225358899</v>
      </c>
      <c r="K154" t="str">
        <f t="shared" si="3"/>
        <v>Disadvantage Zone Average Travel Distance per Person by Walk 0</v>
      </c>
      <c r="O154" t="s">
        <v>346</v>
      </c>
    </row>
    <row r="155" spans="1:15" x14ac:dyDescent="0.25">
      <c r="A155">
        <v>154</v>
      </c>
      <c r="B155" t="s">
        <v>10</v>
      </c>
      <c r="C155" t="s">
        <v>167</v>
      </c>
      <c r="D155" t="s">
        <v>12</v>
      </c>
      <c r="E155" t="s">
        <v>13</v>
      </c>
      <c r="F155" t="s">
        <v>157</v>
      </c>
      <c r="G155">
        <v>1</v>
      </c>
      <c r="H155" t="s">
        <v>14</v>
      </c>
      <c r="I155" t="s">
        <v>168</v>
      </c>
      <c r="J155" s="2">
        <v>15.2526847792545</v>
      </c>
      <c r="K155" t="str">
        <f t="shared" si="3"/>
        <v>Disadvantage Zone Average Travel Distance per Person by Auto 1</v>
      </c>
      <c r="O155" t="s">
        <v>347</v>
      </c>
    </row>
    <row r="156" spans="1:15" x14ac:dyDescent="0.25">
      <c r="A156">
        <v>155</v>
      </c>
      <c r="B156" t="s">
        <v>10</v>
      </c>
      <c r="C156" t="s">
        <v>167</v>
      </c>
      <c r="D156" t="s">
        <v>12</v>
      </c>
      <c r="E156" t="s">
        <v>17</v>
      </c>
      <c r="F156" t="s">
        <v>157</v>
      </c>
      <c r="G156">
        <v>1</v>
      </c>
      <c r="H156" t="s">
        <v>14</v>
      </c>
      <c r="I156" t="s">
        <v>168</v>
      </c>
      <c r="J156" s="2">
        <v>0.204128483565128</v>
      </c>
      <c r="K156" t="str">
        <f t="shared" si="3"/>
        <v>Disadvantage Zone Average Travel Distance per Person by Bike 1</v>
      </c>
      <c r="O156" t="s">
        <v>348</v>
      </c>
    </row>
    <row r="157" spans="1:15" x14ac:dyDescent="0.25">
      <c r="A157">
        <v>156</v>
      </c>
      <c r="B157" t="s">
        <v>10</v>
      </c>
      <c r="C157" t="s">
        <v>167</v>
      </c>
      <c r="D157" t="s">
        <v>12</v>
      </c>
      <c r="E157" t="s">
        <v>19</v>
      </c>
      <c r="F157" t="s">
        <v>157</v>
      </c>
      <c r="G157">
        <v>1</v>
      </c>
      <c r="H157" t="s">
        <v>14</v>
      </c>
      <c r="I157" t="s">
        <v>168</v>
      </c>
      <c r="J157" s="2">
        <v>0.48366164061419298</v>
      </c>
      <c r="K157" t="str">
        <f t="shared" si="3"/>
        <v>Disadvantage Zone Average Travel Distance per Person by SchoolBus 1</v>
      </c>
      <c r="O157" t="s">
        <v>349</v>
      </c>
    </row>
    <row r="158" spans="1:15" x14ac:dyDescent="0.25">
      <c r="A158">
        <v>157</v>
      </c>
      <c r="B158" t="s">
        <v>10</v>
      </c>
      <c r="C158" t="s">
        <v>167</v>
      </c>
      <c r="D158" t="s">
        <v>12</v>
      </c>
      <c r="E158" t="s">
        <v>20</v>
      </c>
      <c r="F158" t="s">
        <v>157</v>
      </c>
      <c r="G158">
        <v>1</v>
      </c>
      <c r="H158" t="s">
        <v>14</v>
      </c>
      <c r="I158" t="s">
        <v>168</v>
      </c>
      <c r="J158" s="2">
        <v>8.3839662896240605E-3</v>
      </c>
      <c r="K158" t="str">
        <f t="shared" si="3"/>
        <v>Disadvantage Zone Average Travel Distance per Person by Taxi 1</v>
      </c>
      <c r="O158" t="s">
        <v>350</v>
      </c>
    </row>
    <row r="159" spans="1:15" x14ac:dyDescent="0.25">
      <c r="A159">
        <v>158</v>
      </c>
      <c r="B159" t="s">
        <v>10</v>
      </c>
      <c r="C159" t="s">
        <v>167</v>
      </c>
      <c r="D159" t="s">
        <v>12</v>
      </c>
      <c r="E159" t="s">
        <v>22</v>
      </c>
      <c r="F159" t="s">
        <v>157</v>
      </c>
      <c r="G159">
        <v>1</v>
      </c>
      <c r="H159" t="s">
        <v>14</v>
      </c>
      <c r="I159" t="s">
        <v>168</v>
      </c>
      <c r="J159" s="2">
        <v>0.25343743681964698</v>
      </c>
      <c r="K159" t="str">
        <f t="shared" si="3"/>
        <v>Disadvantage Zone Average Travel Distance per Person by Transit 1</v>
      </c>
      <c r="O159" t="s">
        <v>351</v>
      </c>
    </row>
    <row r="160" spans="1:15" x14ac:dyDescent="0.25">
      <c r="A160">
        <v>159</v>
      </c>
      <c r="B160" t="s">
        <v>10</v>
      </c>
      <c r="C160" t="s">
        <v>167</v>
      </c>
      <c r="D160" t="s">
        <v>12</v>
      </c>
      <c r="E160" t="s">
        <v>24</v>
      </c>
      <c r="F160" t="s">
        <v>157</v>
      </c>
      <c r="G160">
        <v>1</v>
      </c>
      <c r="H160" t="s">
        <v>14</v>
      </c>
      <c r="I160" t="s">
        <v>168</v>
      </c>
      <c r="J160" s="2">
        <v>0.41602322908796802</v>
      </c>
      <c r="K160" t="str">
        <f t="shared" si="3"/>
        <v>Disadvantage Zone Average Travel Distance per Person by Walk 1</v>
      </c>
      <c r="O160" t="s">
        <v>352</v>
      </c>
    </row>
    <row r="161" spans="1:15" x14ac:dyDescent="0.25">
      <c r="A161">
        <v>160</v>
      </c>
      <c r="B161" t="s">
        <v>10</v>
      </c>
      <c r="C161" t="s">
        <v>169</v>
      </c>
      <c r="D161" t="s">
        <v>12</v>
      </c>
      <c r="E161" t="s">
        <v>13</v>
      </c>
      <c r="F161" t="s">
        <v>170</v>
      </c>
      <c r="G161" t="s">
        <v>171</v>
      </c>
      <c r="H161" t="s">
        <v>14</v>
      </c>
      <c r="I161" t="s">
        <v>172</v>
      </c>
      <c r="J161" s="2">
        <v>18.0030404332804</v>
      </c>
      <c r="K161" t="str">
        <f>CONCATENATE("Average Commute Time"," by ",E161,  " of ", F161, " 1")</f>
        <v>Average Commute Time by Auto of Income Quartile 1</v>
      </c>
      <c r="O161" t="s">
        <v>353</v>
      </c>
    </row>
    <row r="162" spans="1:15" x14ac:dyDescent="0.25">
      <c r="A162">
        <v>161</v>
      </c>
      <c r="B162" t="s">
        <v>10</v>
      </c>
      <c r="C162" t="s">
        <v>169</v>
      </c>
      <c r="D162" t="s">
        <v>12</v>
      </c>
      <c r="E162" t="s">
        <v>17</v>
      </c>
      <c r="F162" t="s">
        <v>170</v>
      </c>
      <c r="G162" t="s">
        <v>171</v>
      </c>
      <c r="H162" t="s">
        <v>14</v>
      </c>
      <c r="I162" t="s">
        <v>172</v>
      </c>
      <c r="J162" s="2">
        <v>26.365009174311901</v>
      </c>
      <c r="K162" t="str">
        <f t="shared" ref="K162:K165" si="4">CONCATENATE("Average Commute Time"," by ",E162,  " of ", F162, " 1")</f>
        <v>Average Commute Time by Bike of Income Quartile 1</v>
      </c>
      <c r="O162" t="s">
        <v>354</v>
      </c>
    </row>
    <row r="163" spans="1:15" x14ac:dyDescent="0.25">
      <c r="A163">
        <v>162</v>
      </c>
      <c r="B163" t="s">
        <v>10</v>
      </c>
      <c r="C163" t="s">
        <v>169</v>
      </c>
      <c r="D163" t="s">
        <v>12</v>
      </c>
      <c r="E163" t="s">
        <v>20</v>
      </c>
      <c r="F163" t="s">
        <v>170</v>
      </c>
      <c r="G163" t="s">
        <v>171</v>
      </c>
      <c r="H163" t="s">
        <v>14</v>
      </c>
      <c r="I163" t="s">
        <v>172</v>
      </c>
      <c r="J163" s="2">
        <v>2.61090909090909</v>
      </c>
      <c r="K163" t="str">
        <f t="shared" si="4"/>
        <v>Average Commute Time by Taxi of Income Quartile 1</v>
      </c>
      <c r="O163" t="s">
        <v>355</v>
      </c>
    </row>
    <row r="164" spans="1:15" x14ac:dyDescent="0.25">
      <c r="A164">
        <v>163</v>
      </c>
      <c r="B164" t="s">
        <v>10</v>
      </c>
      <c r="C164" t="s">
        <v>169</v>
      </c>
      <c r="D164" t="s">
        <v>12</v>
      </c>
      <c r="E164" t="s">
        <v>22</v>
      </c>
      <c r="F164" t="s">
        <v>170</v>
      </c>
      <c r="G164" t="s">
        <v>171</v>
      </c>
      <c r="H164" t="s">
        <v>14</v>
      </c>
      <c r="I164" t="s">
        <v>172</v>
      </c>
      <c r="J164" s="2">
        <v>56.961857255520499</v>
      </c>
      <c r="K164" t="str">
        <f t="shared" si="4"/>
        <v>Average Commute Time by Transit of Income Quartile 1</v>
      </c>
      <c r="O164" t="s">
        <v>356</v>
      </c>
    </row>
    <row r="165" spans="1:15" x14ac:dyDescent="0.25">
      <c r="A165">
        <v>164</v>
      </c>
      <c r="B165" t="s">
        <v>10</v>
      </c>
      <c r="C165" t="s">
        <v>169</v>
      </c>
      <c r="D165" t="s">
        <v>12</v>
      </c>
      <c r="E165" t="s">
        <v>24</v>
      </c>
      <c r="F165" t="s">
        <v>170</v>
      </c>
      <c r="G165" t="s">
        <v>171</v>
      </c>
      <c r="H165" t="s">
        <v>14</v>
      </c>
      <c r="I165" t="s">
        <v>172</v>
      </c>
      <c r="J165" s="2">
        <v>22.542069892473101</v>
      </c>
      <c r="K165" t="str">
        <f t="shared" si="4"/>
        <v>Average Commute Time by Walk of Income Quartile 1</v>
      </c>
      <c r="O165" t="s">
        <v>357</v>
      </c>
    </row>
    <row r="166" spans="1:15" x14ac:dyDescent="0.25">
      <c r="A166">
        <v>165</v>
      </c>
      <c r="B166" t="s">
        <v>10</v>
      </c>
      <c r="C166" t="s">
        <v>169</v>
      </c>
      <c r="D166" t="s">
        <v>12</v>
      </c>
      <c r="E166" t="s">
        <v>13</v>
      </c>
      <c r="F166" t="s">
        <v>170</v>
      </c>
      <c r="G166" t="s">
        <v>173</v>
      </c>
      <c r="H166" t="s">
        <v>14</v>
      </c>
      <c r="I166" t="s">
        <v>172</v>
      </c>
      <c r="J166" s="2">
        <v>20.3665685880487</v>
      </c>
      <c r="K166" t="str">
        <f>CONCATENATE("Average Commute Time"," by ",E166,  " of ", F166, " 2")</f>
        <v>Average Commute Time by Auto of Income Quartile 2</v>
      </c>
      <c r="O166" t="s">
        <v>358</v>
      </c>
    </row>
    <row r="167" spans="1:15" x14ac:dyDescent="0.25">
      <c r="A167">
        <v>166</v>
      </c>
      <c r="B167" t="s">
        <v>10</v>
      </c>
      <c r="C167" t="s">
        <v>169</v>
      </c>
      <c r="D167" t="s">
        <v>12</v>
      </c>
      <c r="E167" t="s">
        <v>17</v>
      </c>
      <c r="F167" t="s">
        <v>170</v>
      </c>
      <c r="G167" t="s">
        <v>173</v>
      </c>
      <c r="H167" t="s">
        <v>14</v>
      </c>
      <c r="I167" t="s">
        <v>172</v>
      </c>
      <c r="J167" s="2">
        <v>27.2750235849057</v>
      </c>
      <c r="K167" t="str">
        <f t="shared" ref="K167:K170" si="5">CONCATENATE("Average Commute Time"," by ",E167,  " of ", F167, " 2")</f>
        <v>Average Commute Time by Bike of Income Quartile 2</v>
      </c>
      <c r="O167" t="s">
        <v>359</v>
      </c>
    </row>
    <row r="168" spans="1:15" x14ac:dyDescent="0.25">
      <c r="A168">
        <v>167</v>
      </c>
      <c r="B168" t="s">
        <v>10</v>
      </c>
      <c r="C168" t="s">
        <v>169</v>
      </c>
      <c r="D168" t="s">
        <v>12</v>
      </c>
      <c r="E168" t="s">
        <v>20</v>
      </c>
      <c r="F168" t="s">
        <v>170</v>
      </c>
      <c r="G168" t="s">
        <v>173</v>
      </c>
      <c r="H168" t="s">
        <v>14</v>
      </c>
      <c r="I168" t="s">
        <v>172</v>
      </c>
      <c r="J168" s="2">
        <v>2.55571428571429</v>
      </c>
      <c r="K168" t="str">
        <f t="shared" si="5"/>
        <v>Average Commute Time by Taxi of Income Quartile 2</v>
      </c>
      <c r="O168" t="s">
        <v>360</v>
      </c>
    </row>
    <row r="169" spans="1:15" x14ac:dyDescent="0.25">
      <c r="A169">
        <v>168</v>
      </c>
      <c r="B169" t="s">
        <v>10</v>
      </c>
      <c r="C169" t="s">
        <v>169</v>
      </c>
      <c r="D169" t="s">
        <v>12</v>
      </c>
      <c r="E169" t="s">
        <v>22</v>
      </c>
      <c r="F169" t="s">
        <v>170</v>
      </c>
      <c r="G169" t="s">
        <v>173</v>
      </c>
      <c r="H169" t="s">
        <v>14</v>
      </c>
      <c r="I169" t="s">
        <v>172</v>
      </c>
      <c r="J169" s="2">
        <v>60.311997607655499</v>
      </c>
      <c r="K169" t="str">
        <f t="shared" si="5"/>
        <v>Average Commute Time by Transit of Income Quartile 2</v>
      </c>
      <c r="O169" t="s">
        <v>361</v>
      </c>
    </row>
    <row r="170" spans="1:15" x14ac:dyDescent="0.25">
      <c r="A170">
        <v>169</v>
      </c>
      <c r="B170" t="s">
        <v>10</v>
      </c>
      <c r="C170" t="s">
        <v>169</v>
      </c>
      <c r="D170" t="s">
        <v>12</v>
      </c>
      <c r="E170" t="s">
        <v>24</v>
      </c>
      <c r="F170" t="s">
        <v>170</v>
      </c>
      <c r="G170" t="s">
        <v>173</v>
      </c>
      <c r="H170" t="s">
        <v>14</v>
      </c>
      <c r="I170" t="s">
        <v>172</v>
      </c>
      <c r="J170" s="2">
        <v>20.619465437788001</v>
      </c>
      <c r="K170" t="str">
        <f t="shared" si="5"/>
        <v>Average Commute Time by Walk of Income Quartile 2</v>
      </c>
      <c r="O170" t="s">
        <v>362</v>
      </c>
    </row>
    <row r="171" spans="1:15" x14ac:dyDescent="0.25">
      <c r="A171">
        <v>170</v>
      </c>
      <c r="B171" t="s">
        <v>10</v>
      </c>
      <c r="C171" t="s">
        <v>169</v>
      </c>
      <c r="D171" t="s">
        <v>12</v>
      </c>
      <c r="E171" t="s">
        <v>13</v>
      </c>
      <c r="F171" t="s">
        <v>170</v>
      </c>
      <c r="G171" t="s">
        <v>174</v>
      </c>
      <c r="H171" t="s">
        <v>14</v>
      </c>
      <c r="I171" t="s">
        <v>172</v>
      </c>
      <c r="J171" s="2">
        <v>21.6344333851005</v>
      </c>
      <c r="K171" t="str">
        <f>CONCATENATE("Average Commute Time"," by ",E171,  " of ", F171, " 3")</f>
        <v>Average Commute Time by Auto of Income Quartile 3</v>
      </c>
      <c r="O171" t="s">
        <v>363</v>
      </c>
    </row>
    <row r="172" spans="1:15" x14ac:dyDescent="0.25">
      <c r="A172">
        <v>171</v>
      </c>
      <c r="B172" t="s">
        <v>10</v>
      </c>
      <c r="C172" t="s">
        <v>169</v>
      </c>
      <c r="D172" t="s">
        <v>12</v>
      </c>
      <c r="E172" t="s">
        <v>17</v>
      </c>
      <c r="F172" t="s">
        <v>170</v>
      </c>
      <c r="G172" t="s">
        <v>174</v>
      </c>
      <c r="H172" t="s">
        <v>14</v>
      </c>
      <c r="I172" t="s">
        <v>172</v>
      </c>
      <c r="J172" s="2">
        <v>26.780877192982501</v>
      </c>
      <c r="K172" t="str">
        <f t="shared" ref="K172:K175" si="6">CONCATENATE("Average Commute Time"," by ",E172,  " of ", F172, " 3")</f>
        <v>Average Commute Time by Bike of Income Quartile 3</v>
      </c>
      <c r="O172" t="s">
        <v>364</v>
      </c>
    </row>
    <row r="173" spans="1:15" x14ac:dyDescent="0.25">
      <c r="A173">
        <v>172</v>
      </c>
      <c r="B173" t="s">
        <v>10</v>
      </c>
      <c r="C173" t="s">
        <v>169</v>
      </c>
      <c r="D173" t="s">
        <v>12</v>
      </c>
      <c r="E173" t="s">
        <v>20</v>
      </c>
      <c r="F173" t="s">
        <v>170</v>
      </c>
      <c r="G173" t="s">
        <v>174</v>
      </c>
      <c r="H173" t="s">
        <v>14</v>
      </c>
      <c r="I173" t="s">
        <v>172</v>
      </c>
      <c r="J173" s="2">
        <v>2</v>
      </c>
      <c r="K173" t="str">
        <f t="shared" si="6"/>
        <v>Average Commute Time by Taxi of Income Quartile 3</v>
      </c>
      <c r="O173" t="s">
        <v>365</v>
      </c>
    </row>
    <row r="174" spans="1:15" x14ac:dyDescent="0.25">
      <c r="A174">
        <v>173</v>
      </c>
      <c r="B174" t="s">
        <v>10</v>
      </c>
      <c r="C174" t="s">
        <v>169</v>
      </c>
      <c r="D174" t="s">
        <v>12</v>
      </c>
      <c r="E174" t="s">
        <v>22</v>
      </c>
      <c r="F174" t="s">
        <v>170</v>
      </c>
      <c r="G174" t="s">
        <v>174</v>
      </c>
      <c r="H174" t="s">
        <v>14</v>
      </c>
      <c r="I174" t="s">
        <v>172</v>
      </c>
      <c r="J174" s="2">
        <v>63.247950043066297</v>
      </c>
      <c r="K174" t="str">
        <f t="shared" si="6"/>
        <v>Average Commute Time by Transit of Income Quartile 3</v>
      </c>
      <c r="O174" t="s">
        <v>366</v>
      </c>
    </row>
    <row r="175" spans="1:15" x14ac:dyDescent="0.25">
      <c r="A175">
        <v>174</v>
      </c>
      <c r="B175" t="s">
        <v>10</v>
      </c>
      <c r="C175" t="s">
        <v>169</v>
      </c>
      <c r="D175" t="s">
        <v>12</v>
      </c>
      <c r="E175" t="s">
        <v>24</v>
      </c>
      <c r="F175" t="s">
        <v>170</v>
      </c>
      <c r="G175" t="s">
        <v>174</v>
      </c>
      <c r="H175" t="s">
        <v>14</v>
      </c>
      <c r="I175" t="s">
        <v>172</v>
      </c>
      <c r="J175" s="2">
        <v>19.646265306122402</v>
      </c>
      <c r="K175" t="str">
        <f t="shared" si="6"/>
        <v>Average Commute Time by Walk of Income Quartile 3</v>
      </c>
      <c r="O175" t="s">
        <v>367</v>
      </c>
    </row>
    <row r="176" spans="1:15" x14ac:dyDescent="0.25">
      <c r="A176">
        <v>175</v>
      </c>
      <c r="B176" t="s">
        <v>10</v>
      </c>
      <c r="C176" t="s">
        <v>169</v>
      </c>
      <c r="D176" t="s">
        <v>12</v>
      </c>
      <c r="E176" t="s">
        <v>13</v>
      </c>
      <c r="F176" t="s">
        <v>170</v>
      </c>
      <c r="G176" t="s">
        <v>175</v>
      </c>
      <c r="H176" t="s">
        <v>14</v>
      </c>
      <c r="I176" t="s">
        <v>172</v>
      </c>
      <c r="J176" s="2">
        <v>23.340547985198299</v>
      </c>
      <c r="K176" t="str">
        <f>CONCATENATE("Average Commute Time"," by ",E176,  " of ", F176, " 4")</f>
        <v>Average Commute Time by Auto of Income Quartile 4</v>
      </c>
      <c r="O176" t="s">
        <v>368</v>
      </c>
    </row>
    <row r="177" spans="1:15" x14ac:dyDescent="0.25">
      <c r="A177">
        <v>176</v>
      </c>
      <c r="B177" t="s">
        <v>10</v>
      </c>
      <c r="C177" t="s">
        <v>169</v>
      </c>
      <c r="D177" t="s">
        <v>12</v>
      </c>
      <c r="E177" t="s">
        <v>17</v>
      </c>
      <c r="F177" t="s">
        <v>170</v>
      </c>
      <c r="G177" t="s">
        <v>175</v>
      </c>
      <c r="H177" t="s">
        <v>14</v>
      </c>
      <c r="I177" t="s">
        <v>172</v>
      </c>
      <c r="J177" s="2">
        <v>26.708464052287599</v>
      </c>
      <c r="K177" t="str">
        <f t="shared" ref="K177:K180" si="7">CONCATENATE("Average Commute Time"," by ",E177,  " of ", F177, " 4")</f>
        <v>Average Commute Time by Bike of Income Quartile 4</v>
      </c>
      <c r="O177" t="s">
        <v>369</v>
      </c>
    </row>
    <row r="178" spans="1:15" x14ac:dyDescent="0.25">
      <c r="A178">
        <v>177</v>
      </c>
      <c r="B178" t="s">
        <v>10</v>
      </c>
      <c r="C178" t="s">
        <v>169</v>
      </c>
      <c r="D178" t="s">
        <v>12</v>
      </c>
      <c r="E178" t="s">
        <v>20</v>
      </c>
      <c r="F178" t="s">
        <v>170</v>
      </c>
      <c r="G178" t="s">
        <v>175</v>
      </c>
      <c r="H178" t="s">
        <v>14</v>
      </c>
      <c r="I178" t="s">
        <v>172</v>
      </c>
      <c r="J178" s="2">
        <v>2.4141666666666701</v>
      </c>
      <c r="K178" t="str">
        <f t="shared" si="7"/>
        <v>Average Commute Time by Taxi of Income Quartile 4</v>
      </c>
      <c r="O178" t="s">
        <v>370</v>
      </c>
    </row>
    <row r="179" spans="1:15" x14ac:dyDescent="0.25">
      <c r="A179">
        <v>178</v>
      </c>
      <c r="B179" t="s">
        <v>10</v>
      </c>
      <c r="C179" t="s">
        <v>169</v>
      </c>
      <c r="D179" t="s">
        <v>12</v>
      </c>
      <c r="E179" t="s">
        <v>22</v>
      </c>
      <c r="F179" t="s">
        <v>170</v>
      </c>
      <c r="G179" t="s">
        <v>175</v>
      </c>
      <c r="H179" t="s">
        <v>14</v>
      </c>
      <c r="I179" t="s">
        <v>172</v>
      </c>
      <c r="J179" s="2">
        <v>66.935302935665206</v>
      </c>
      <c r="K179" t="str">
        <f t="shared" si="7"/>
        <v>Average Commute Time by Transit of Income Quartile 4</v>
      </c>
      <c r="O179" t="s">
        <v>371</v>
      </c>
    </row>
    <row r="180" spans="1:15" x14ac:dyDescent="0.25">
      <c r="A180">
        <v>179</v>
      </c>
      <c r="B180" t="s">
        <v>10</v>
      </c>
      <c r="C180" t="s">
        <v>169</v>
      </c>
      <c r="D180" t="s">
        <v>12</v>
      </c>
      <c r="E180" t="s">
        <v>24</v>
      </c>
      <c r="F180" t="s">
        <v>170</v>
      </c>
      <c r="G180" t="s">
        <v>175</v>
      </c>
      <c r="H180" t="s">
        <v>14</v>
      </c>
      <c r="I180" t="s">
        <v>172</v>
      </c>
      <c r="J180" s="2">
        <v>17.846750348674998</v>
      </c>
      <c r="K180" t="str">
        <f t="shared" si="7"/>
        <v>Average Commute Time by Walk of Income Quartile 4</v>
      </c>
      <c r="O180" t="s">
        <v>372</v>
      </c>
    </row>
    <row r="181" spans="1:15" x14ac:dyDescent="0.25">
      <c r="A181">
        <v>180</v>
      </c>
      <c r="B181" t="s">
        <v>10</v>
      </c>
      <c r="C181" t="s">
        <v>176</v>
      </c>
      <c r="D181" t="s">
        <v>12</v>
      </c>
      <c r="E181" t="s">
        <v>13</v>
      </c>
      <c r="F181" t="s">
        <v>170</v>
      </c>
      <c r="G181" t="s">
        <v>171</v>
      </c>
      <c r="H181" t="s">
        <v>14</v>
      </c>
      <c r="I181" t="s">
        <v>177</v>
      </c>
      <c r="J181" s="2">
        <v>9.7336142496965206</v>
      </c>
      <c r="K181" t="str">
        <f>CONCATENATE("Average Commute Distance"," by ",E181,  " of ", F181, " 1")</f>
        <v>Average Commute Distance by Auto of Income Quartile 1</v>
      </c>
      <c r="O181" t="s">
        <v>373</v>
      </c>
    </row>
    <row r="182" spans="1:15" x14ac:dyDescent="0.25">
      <c r="A182">
        <v>181</v>
      </c>
      <c r="B182" t="s">
        <v>10</v>
      </c>
      <c r="C182" t="s">
        <v>176</v>
      </c>
      <c r="D182" t="s">
        <v>12</v>
      </c>
      <c r="E182" t="s">
        <v>17</v>
      </c>
      <c r="F182" t="s">
        <v>170</v>
      </c>
      <c r="G182" t="s">
        <v>171</v>
      </c>
      <c r="H182" t="s">
        <v>14</v>
      </c>
      <c r="I182" t="s">
        <v>177</v>
      </c>
      <c r="J182" s="2">
        <v>5.2725229357798202</v>
      </c>
      <c r="K182" t="str">
        <f t="shared" ref="K182:K185" si="8">CONCATENATE("Average Commute Distance"," by ",E182,  " of ", F182, " 1")</f>
        <v>Average Commute Distance by Bike of Income Quartile 1</v>
      </c>
      <c r="O182" t="s">
        <v>374</v>
      </c>
    </row>
    <row r="183" spans="1:15" x14ac:dyDescent="0.25">
      <c r="A183">
        <v>182</v>
      </c>
      <c r="B183" t="s">
        <v>10</v>
      </c>
      <c r="C183" t="s">
        <v>176</v>
      </c>
      <c r="D183" t="s">
        <v>12</v>
      </c>
      <c r="E183" t="s">
        <v>20</v>
      </c>
      <c r="F183" t="s">
        <v>170</v>
      </c>
      <c r="G183" t="s">
        <v>171</v>
      </c>
      <c r="H183" t="s">
        <v>14</v>
      </c>
      <c r="I183" t="s">
        <v>177</v>
      </c>
      <c r="J183" s="2">
        <v>0.86727272727272697</v>
      </c>
      <c r="K183" t="str">
        <f t="shared" si="8"/>
        <v>Average Commute Distance by Taxi of Income Quartile 1</v>
      </c>
      <c r="O183" t="s">
        <v>375</v>
      </c>
    </row>
    <row r="184" spans="1:15" x14ac:dyDescent="0.25">
      <c r="A184">
        <v>183</v>
      </c>
      <c r="B184" t="s">
        <v>10</v>
      </c>
      <c r="C184" t="s">
        <v>176</v>
      </c>
      <c r="D184" t="s">
        <v>12</v>
      </c>
      <c r="E184" t="s">
        <v>22</v>
      </c>
      <c r="F184" t="s">
        <v>170</v>
      </c>
      <c r="G184" t="s">
        <v>171</v>
      </c>
      <c r="H184" t="s">
        <v>14</v>
      </c>
      <c r="I184" t="s">
        <v>177</v>
      </c>
      <c r="J184" s="2">
        <v>8.6587618296530007</v>
      </c>
      <c r="K184" t="str">
        <f t="shared" si="8"/>
        <v>Average Commute Distance by Transit of Income Quartile 1</v>
      </c>
      <c r="O184" t="s">
        <v>376</v>
      </c>
    </row>
    <row r="185" spans="1:15" x14ac:dyDescent="0.25">
      <c r="A185">
        <v>184</v>
      </c>
      <c r="B185" t="s">
        <v>10</v>
      </c>
      <c r="C185" t="s">
        <v>176</v>
      </c>
      <c r="D185" t="s">
        <v>12</v>
      </c>
      <c r="E185" t="s">
        <v>24</v>
      </c>
      <c r="F185" t="s">
        <v>170</v>
      </c>
      <c r="G185" t="s">
        <v>171</v>
      </c>
      <c r="H185" t="s">
        <v>14</v>
      </c>
      <c r="I185" t="s">
        <v>177</v>
      </c>
      <c r="J185" s="2">
        <v>1.12632616487455</v>
      </c>
      <c r="K185" t="str">
        <f t="shared" si="8"/>
        <v>Average Commute Distance by Walk of Income Quartile 1</v>
      </c>
      <c r="O185" t="s">
        <v>377</v>
      </c>
    </row>
    <row r="186" spans="1:15" x14ac:dyDescent="0.25">
      <c r="A186">
        <v>185</v>
      </c>
      <c r="B186" t="s">
        <v>10</v>
      </c>
      <c r="C186" t="s">
        <v>176</v>
      </c>
      <c r="D186" t="s">
        <v>12</v>
      </c>
      <c r="E186" t="s">
        <v>13</v>
      </c>
      <c r="F186" t="s">
        <v>170</v>
      </c>
      <c r="G186" t="s">
        <v>173</v>
      </c>
      <c r="H186" t="s">
        <v>14</v>
      </c>
      <c r="I186" t="s">
        <v>177</v>
      </c>
      <c r="J186" s="2">
        <v>11.347161607615</v>
      </c>
      <c r="K186" t="str">
        <f>CONCATENATE("Average Commute Distance"," by ",E186,  " of ", F186, " 2")</f>
        <v>Average Commute Distance by Auto of Income Quartile 2</v>
      </c>
      <c r="O186" t="s">
        <v>378</v>
      </c>
    </row>
    <row r="187" spans="1:15" x14ac:dyDescent="0.25">
      <c r="A187">
        <v>186</v>
      </c>
      <c r="B187" t="s">
        <v>10</v>
      </c>
      <c r="C187" t="s">
        <v>176</v>
      </c>
      <c r="D187" t="s">
        <v>12</v>
      </c>
      <c r="E187" t="s">
        <v>17</v>
      </c>
      <c r="F187" t="s">
        <v>170</v>
      </c>
      <c r="G187" t="s">
        <v>173</v>
      </c>
      <c r="H187" t="s">
        <v>14</v>
      </c>
      <c r="I187" t="s">
        <v>177</v>
      </c>
      <c r="J187" s="2">
        <v>5.4598113207547199</v>
      </c>
      <c r="K187" t="str">
        <f t="shared" ref="K187:K190" si="9">CONCATENATE("Average Commute Distance"," by ",E187,  " of ", F187, " 2")</f>
        <v>Average Commute Distance by Bike of Income Quartile 2</v>
      </c>
      <c r="O187" t="s">
        <v>379</v>
      </c>
    </row>
    <row r="188" spans="1:15" x14ac:dyDescent="0.25">
      <c r="A188">
        <v>187</v>
      </c>
      <c r="B188" t="s">
        <v>10</v>
      </c>
      <c r="C188" t="s">
        <v>176</v>
      </c>
      <c r="D188" t="s">
        <v>12</v>
      </c>
      <c r="E188" t="s">
        <v>20</v>
      </c>
      <c r="F188" t="s">
        <v>170</v>
      </c>
      <c r="G188" t="s">
        <v>173</v>
      </c>
      <c r="H188" t="s">
        <v>14</v>
      </c>
      <c r="I188" t="s">
        <v>177</v>
      </c>
      <c r="J188" s="2">
        <v>0.76142857142857101</v>
      </c>
      <c r="K188" t="str">
        <f t="shared" si="9"/>
        <v>Average Commute Distance by Taxi of Income Quartile 2</v>
      </c>
      <c r="O188" t="s">
        <v>380</v>
      </c>
    </row>
    <row r="189" spans="1:15" x14ac:dyDescent="0.25">
      <c r="A189">
        <v>188</v>
      </c>
      <c r="B189" t="s">
        <v>10</v>
      </c>
      <c r="C189" t="s">
        <v>176</v>
      </c>
      <c r="D189" t="s">
        <v>12</v>
      </c>
      <c r="E189" t="s">
        <v>22</v>
      </c>
      <c r="F189" t="s">
        <v>170</v>
      </c>
      <c r="G189" t="s">
        <v>173</v>
      </c>
      <c r="H189" t="s">
        <v>14</v>
      </c>
      <c r="I189" t="s">
        <v>177</v>
      </c>
      <c r="J189" s="2">
        <v>9.4120015948963296</v>
      </c>
      <c r="K189" t="str">
        <f t="shared" si="9"/>
        <v>Average Commute Distance by Transit of Income Quartile 2</v>
      </c>
      <c r="O189" t="s">
        <v>381</v>
      </c>
    </row>
    <row r="190" spans="1:15" x14ac:dyDescent="0.25">
      <c r="A190">
        <v>189</v>
      </c>
      <c r="B190" t="s">
        <v>10</v>
      </c>
      <c r="C190" t="s">
        <v>176</v>
      </c>
      <c r="D190" t="s">
        <v>12</v>
      </c>
      <c r="E190" t="s">
        <v>24</v>
      </c>
      <c r="F190" t="s">
        <v>170</v>
      </c>
      <c r="G190" t="s">
        <v>173</v>
      </c>
      <c r="H190" t="s">
        <v>14</v>
      </c>
      <c r="I190" t="s">
        <v>177</v>
      </c>
      <c r="J190" s="2">
        <v>1.03035944700461</v>
      </c>
      <c r="K190" t="str">
        <f t="shared" si="9"/>
        <v>Average Commute Distance by Walk of Income Quartile 2</v>
      </c>
      <c r="O190" t="s">
        <v>382</v>
      </c>
    </row>
    <row r="191" spans="1:15" x14ac:dyDescent="0.25">
      <c r="A191">
        <v>190</v>
      </c>
      <c r="B191" t="s">
        <v>10</v>
      </c>
      <c r="C191" t="s">
        <v>176</v>
      </c>
      <c r="D191" t="s">
        <v>12</v>
      </c>
      <c r="E191" t="s">
        <v>13</v>
      </c>
      <c r="F191" t="s">
        <v>170</v>
      </c>
      <c r="G191" t="s">
        <v>174</v>
      </c>
      <c r="H191" t="s">
        <v>14</v>
      </c>
      <c r="I191" t="s">
        <v>177</v>
      </c>
      <c r="J191" s="2">
        <v>12.241852793072599</v>
      </c>
      <c r="K191" t="str">
        <f>CONCATENATE("Average Commute Distance"," by ",E191,  " of ", F191, " 3")</f>
        <v>Average Commute Distance by Auto of Income Quartile 3</v>
      </c>
      <c r="O191" t="s">
        <v>383</v>
      </c>
    </row>
    <row r="192" spans="1:15" x14ac:dyDescent="0.25">
      <c r="A192">
        <v>191</v>
      </c>
      <c r="B192" t="s">
        <v>10</v>
      </c>
      <c r="C192" t="s">
        <v>176</v>
      </c>
      <c r="D192" t="s">
        <v>12</v>
      </c>
      <c r="E192" t="s">
        <v>17</v>
      </c>
      <c r="F192" t="s">
        <v>170</v>
      </c>
      <c r="G192" t="s">
        <v>174</v>
      </c>
      <c r="H192" t="s">
        <v>14</v>
      </c>
      <c r="I192" t="s">
        <v>177</v>
      </c>
      <c r="J192" s="2">
        <v>5.3641467304625197</v>
      </c>
      <c r="K192" t="str">
        <f t="shared" ref="K192:K195" si="10">CONCATENATE("Average Commute Distance"," by ",E192,  " of ", F192, " 3")</f>
        <v>Average Commute Distance by Bike of Income Quartile 3</v>
      </c>
      <c r="O192" t="s">
        <v>384</v>
      </c>
    </row>
    <row r="193" spans="1:15" x14ac:dyDescent="0.25">
      <c r="A193">
        <v>192</v>
      </c>
      <c r="B193" t="s">
        <v>10</v>
      </c>
      <c r="C193" t="s">
        <v>176</v>
      </c>
      <c r="D193" t="s">
        <v>12</v>
      </c>
      <c r="E193" t="s">
        <v>20</v>
      </c>
      <c r="F193" t="s">
        <v>170</v>
      </c>
      <c r="G193" t="s">
        <v>174</v>
      </c>
      <c r="H193" t="s">
        <v>14</v>
      </c>
      <c r="I193" t="s">
        <v>177</v>
      </c>
      <c r="J193" s="2">
        <v>0.50375000000000003</v>
      </c>
      <c r="K193" t="str">
        <f t="shared" si="10"/>
        <v>Average Commute Distance by Taxi of Income Quartile 3</v>
      </c>
      <c r="O193" t="s">
        <v>385</v>
      </c>
    </row>
    <row r="194" spans="1:15" x14ac:dyDescent="0.25">
      <c r="A194">
        <v>193</v>
      </c>
      <c r="B194" t="s">
        <v>10</v>
      </c>
      <c r="C194" t="s">
        <v>176</v>
      </c>
      <c r="D194" t="s">
        <v>12</v>
      </c>
      <c r="E194" t="s">
        <v>22</v>
      </c>
      <c r="F194" t="s">
        <v>170</v>
      </c>
      <c r="G194" t="s">
        <v>174</v>
      </c>
      <c r="H194" t="s">
        <v>14</v>
      </c>
      <c r="I194" t="s">
        <v>177</v>
      </c>
      <c r="J194" s="2">
        <v>10.134991386735599</v>
      </c>
      <c r="K194" t="str">
        <f t="shared" si="10"/>
        <v>Average Commute Distance by Transit of Income Quartile 3</v>
      </c>
      <c r="O194" t="s">
        <v>386</v>
      </c>
    </row>
    <row r="195" spans="1:15" x14ac:dyDescent="0.25">
      <c r="A195">
        <v>194</v>
      </c>
      <c r="B195" t="s">
        <v>10</v>
      </c>
      <c r="C195" t="s">
        <v>176</v>
      </c>
      <c r="D195" t="s">
        <v>12</v>
      </c>
      <c r="E195" t="s">
        <v>24</v>
      </c>
      <c r="F195" t="s">
        <v>170</v>
      </c>
      <c r="G195" t="s">
        <v>174</v>
      </c>
      <c r="H195" t="s">
        <v>14</v>
      </c>
      <c r="I195" t="s">
        <v>177</v>
      </c>
      <c r="J195" s="2">
        <v>0.98208163265306103</v>
      </c>
      <c r="K195" t="str">
        <f t="shared" si="10"/>
        <v>Average Commute Distance by Walk of Income Quartile 3</v>
      </c>
      <c r="O195" t="s">
        <v>387</v>
      </c>
    </row>
    <row r="196" spans="1:15" x14ac:dyDescent="0.25">
      <c r="A196">
        <v>195</v>
      </c>
      <c r="B196" t="s">
        <v>10</v>
      </c>
      <c r="C196" t="s">
        <v>176</v>
      </c>
      <c r="D196" t="s">
        <v>12</v>
      </c>
      <c r="E196" t="s">
        <v>13</v>
      </c>
      <c r="F196" t="s">
        <v>170</v>
      </c>
      <c r="G196" t="s">
        <v>175</v>
      </c>
      <c r="H196" t="s">
        <v>14</v>
      </c>
      <c r="I196" t="s">
        <v>177</v>
      </c>
      <c r="J196" s="2">
        <v>13.352796636766399</v>
      </c>
      <c r="K196" t="str">
        <f>CONCATENATE("Average Commute Distance"," by ",E196,  " of ", F196, " 4")</f>
        <v>Average Commute Distance by Auto of Income Quartile 4</v>
      </c>
      <c r="O196" t="s">
        <v>388</v>
      </c>
    </row>
    <row r="197" spans="1:15" x14ac:dyDescent="0.25">
      <c r="A197">
        <v>196</v>
      </c>
      <c r="B197" t="s">
        <v>10</v>
      </c>
      <c r="C197" t="s">
        <v>176</v>
      </c>
      <c r="D197" t="s">
        <v>12</v>
      </c>
      <c r="E197" t="s">
        <v>17</v>
      </c>
      <c r="F197" t="s">
        <v>170</v>
      </c>
      <c r="G197" t="s">
        <v>175</v>
      </c>
      <c r="H197" t="s">
        <v>14</v>
      </c>
      <c r="I197" t="s">
        <v>177</v>
      </c>
      <c r="J197" s="2">
        <v>5.3570588235294103</v>
      </c>
      <c r="K197" t="str">
        <f t="shared" ref="K197:K200" si="11">CONCATENATE("Average Commute Distance"," by ",E197,  " of ", F197, " 4")</f>
        <v>Average Commute Distance by Bike of Income Quartile 4</v>
      </c>
      <c r="O197" t="s">
        <v>389</v>
      </c>
    </row>
    <row r="198" spans="1:15" x14ac:dyDescent="0.25">
      <c r="A198">
        <v>197</v>
      </c>
      <c r="B198" t="s">
        <v>10</v>
      </c>
      <c r="C198" t="s">
        <v>176</v>
      </c>
      <c r="D198" t="s">
        <v>12</v>
      </c>
      <c r="E198" t="s">
        <v>20</v>
      </c>
      <c r="F198" t="s">
        <v>170</v>
      </c>
      <c r="G198" t="s">
        <v>175</v>
      </c>
      <c r="H198" t="s">
        <v>14</v>
      </c>
      <c r="I198" t="s">
        <v>177</v>
      </c>
      <c r="J198" s="2">
        <v>0.71499999999999997</v>
      </c>
      <c r="K198" t="str">
        <f t="shared" si="11"/>
        <v>Average Commute Distance by Taxi of Income Quartile 4</v>
      </c>
      <c r="O198" t="s">
        <v>390</v>
      </c>
    </row>
    <row r="199" spans="1:15" x14ac:dyDescent="0.25">
      <c r="A199">
        <v>198</v>
      </c>
      <c r="B199" t="s">
        <v>10</v>
      </c>
      <c r="C199" t="s">
        <v>176</v>
      </c>
      <c r="D199" t="s">
        <v>12</v>
      </c>
      <c r="E199" t="s">
        <v>22</v>
      </c>
      <c r="F199" t="s">
        <v>170</v>
      </c>
      <c r="G199" t="s">
        <v>175</v>
      </c>
      <c r="H199" t="s">
        <v>14</v>
      </c>
      <c r="I199" t="s">
        <v>177</v>
      </c>
      <c r="J199" s="2">
        <v>11.099494066208599</v>
      </c>
      <c r="K199" t="str">
        <f t="shared" si="11"/>
        <v>Average Commute Distance by Transit of Income Quartile 4</v>
      </c>
      <c r="O199" t="s">
        <v>391</v>
      </c>
    </row>
    <row r="200" spans="1:15" x14ac:dyDescent="0.25">
      <c r="A200">
        <v>199</v>
      </c>
      <c r="B200" t="s">
        <v>10</v>
      </c>
      <c r="C200" t="s">
        <v>176</v>
      </c>
      <c r="D200" t="s">
        <v>12</v>
      </c>
      <c r="E200" t="s">
        <v>24</v>
      </c>
      <c r="F200" t="s">
        <v>170</v>
      </c>
      <c r="G200" t="s">
        <v>175</v>
      </c>
      <c r="H200" t="s">
        <v>14</v>
      </c>
      <c r="I200" t="s">
        <v>177</v>
      </c>
      <c r="J200" s="2">
        <v>0.88979079497907998</v>
      </c>
      <c r="K200" t="str">
        <f t="shared" si="11"/>
        <v>Average Commute Distance by Walk of Income Quartile 4</v>
      </c>
      <c r="O200" t="s">
        <v>392</v>
      </c>
    </row>
    <row r="201" spans="1:15" x14ac:dyDescent="0.25">
      <c r="A201">
        <v>200</v>
      </c>
      <c r="B201" t="s">
        <v>10</v>
      </c>
      <c r="C201" t="s">
        <v>178</v>
      </c>
      <c r="D201" t="s">
        <v>179</v>
      </c>
      <c r="E201">
        <v>0</v>
      </c>
      <c r="H201" t="s">
        <v>14</v>
      </c>
      <c r="I201" t="s">
        <v>136</v>
      </c>
      <c r="J201" s="2">
        <v>49619.7713491432</v>
      </c>
      <c r="K201" t="str">
        <f>CONCATENATE("Disadvantage Zone"," ",I201," ", "for Jobs", " ",E201)</f>
        <v>Disadvantage Zone Auto Accessibility Off Peak for Jobs 0</v>
      </c>
      <c r="O201" t="s">
        <v>393</v>
      </c>
    </row>
    <row r="202" spans="1:15" x14ac:dyDescent="0.25">
      <c r="A202">
        <v>201</v>
      </c>
      <c r="B202" t="s">
        <v>10</v>
      </c>
      <c r="C202" t="s">
        <v>178</v>
      </c>
      <c r="D202" t="s">
        <v>179</v>
      </c>
      <c r="E202">
        <v>1</v>
      </c>
      <c r="H202" t="s">
        <v>14</v>
      </c>
      <c r="I202" t="s">
        <v>136</v>
      </c>
      <c r="J202" s="2">
        <v>71145.501334452201</v>
      </c>
      <c r="K202" t="str">
        <f t="shared" ref="K202:K224" si="12">CONCATENATE("Disadvantage Zone"," ",I202," ", "for Jobs", " ",E202)</f>
        <v>Disadvantage Zone Auto Accessibility Off Peak for Jobs 1</v>
      </c>
      <c r="O202" t="s">
        <v>394</v>
      </c>
    </row>
    <row r="203" spans="1:15" x14ac:dyDescent="0.25">
      <c r="A203">
        <v>202</v>
      </c>
      <c r="B203" t="s">
        <v>10</v>
      </c>
      <c r="C203" t="s">
        <v>178</v>
      </c>
      <c r="D203" t="s">
        <v>179</v>
      </c>
      <c r="E203">
        <v>0</v>
      </c>
      <c r="H203" t="s">
        <v>14</v>
      </c>
      <c r="I203" t="s">
        <v>137</v>
      </c>
      <c r="J203" s="2">
        <v>43492.099608308497</v>
      </c>
      <c r="K203" t="str">
        <f t="shared" si="12"/>
        <v>Disadvantage Zone Auto Accessibility Peak for Jobs 0</v>
      </c>
      <c r="O203" t="s">
        <v>395</v>
      </c>
    </row>
    <row r="204" spans="1:15" x14ac:dyDescent="0.25">
      <c r="A204">
        <v>203</v>
      </c>
      <c r="B204" t="s">
        <v>10</v>
      </c>
      <c r="C204" t="s">
        <v>178</v>
      </c>
      <c r="D204" t="s">
        <v>179</v>
      </c>
      <c r="E204">
        <v>1</v>
      </c>
      <c r="H204" t="s">
        <v>14</v>
      </c>
      <c r="I204" t="s">
        <v>137</v>
      </c>
      <c r="J204" s="2">
        <v>61225.663108453104</v>
      </c>
      <c r="K204" t="str">
        <f t="shared" si="12"/>
        <v>Disadvantage Zone Auto Accessibility Peak for Jobs 1</v>
      </c>
      <c r="O204" t="s">
        <v>396</v>
      </c>
    </row>
    <row r="205" spans="1:15" x14ac:dyDescent="0.25">
      <c r="A205">
        <v>204</v>
      </c>
      <c r="B205" t="s">
        <v>10</v>
      </c>
      <c r="C205" t="s">
        <v>178</v>
      </c>
      <c r="D205" t="s">
        <v>179</v>
      </c>
      <c r="E205">
        <v>0</v>
      </c>
      <c r="H205" t="s">
        <v>14</v>
      </c>
      <c r="I205" t="s">
        <v>138</v>
      </c>
      <c r="J205" s="2">
        <v>253940.39589399</v>
      </c>
      <c r="K205" t="str">
        <f t="shared" si="12"/>
        <v>Disadvantage Zone Auto Accessibility Off Peak within 30 Minutes for Jobs 0</v>
      </c>
      <c r="O205" t="s">
        <v>397</v>
      </c>
    </row>
    <row r="206" spans="1:15" x14ac:dyDescent="0.25">
      <c r="A206">
        <v>205</v>
      </c>
      <c r="B206" t="s">
        <v>10</v>
      </c>
      <c r="C206" t="s">
        <v>178</v>
      </c>
      <c r="D206" t="s">
        <v>179</v>
      </c>
      <c r="E206">
        <v>1</v>
      </c>
      <c r="H206" t="s">
        <v>14</v>
      </c>
      <c r="I206" t="s">
        <v>138</v>
      </c>
      <c r="J206" s="2">
        <v>313667.47885822499</v>
      </c>
      <c r="K206" t="str">
        <f t="shared" si="12"/>
        <v>Disadvantage Zone Auto Accessibility Off Peak within 30 Minutes for Jobs 1</v>
      </c>
      <c r="O206" t="s">
        <v>398</v>
      </c>
    </row>
    <row r="207" spans="1:15" x14ac:dyDescent="0.25">
      <c r="A207">
        <v>206</v>
      </c>
      <c r="B207" t="s">
        <v>10</v>
      </c>
      <c r="C207" t="s">
        <v>178</v>
      </c>
      <c r="D207" t="s">
        <v>179</v>
      </c>
      <c r="E207">
        <v>0</v>
      </c>
      <c r="H207" t="s">
        <v>14</v>
      </c>
      <c r="I207" t="s">
        <v>139</v>
      </c>
      <c r="J207" s="2">
        <v>224185.256484087</v>
      </c>
      <c r="K207" t="str">
        <f t="shared" si="12"/>
        <v>Disadvantage Zone Auto Accessibility Peak within 30 Minutes for Jobs 0</v>
      </c>
      <c r="O207" t="s">
        <v>399</v>
      </c>
    </row>
    <row r="208" spans="1:15" x14ac:dyDescent="0.25">
      <c r="A208">
        <v>207</v>
      </c>
      <c r="B208" t="s">
        <v>10</v>
      </c>
      <c r="C208" t="s">
        <v>178</v>
      </c>
      <c r="D208" t="s">
        <v>179</v>
      </c>
      <c r="E208">
        <v>1</v>
      </c>
      <c r="H208" t="s">
        <v>14</v>
      </c>
      <c r="I208" t="s">
        <v>139</v>
      </c>
      <c r="J208" s="2">
        <v>278794.94380506402</v>
      </c>
      <c r="K208" t="str">
        <f t="shared" si="12"/>
        <v>Disadvantage Zone Auto Accessibility Peak within 30 Minutes for Jobs 1</v>
      </c>
      <c r="O208" t="s">
        <v>400</v>
      </c>
    </row>
    <row r="209" spans="1:15" x14ac:dyDescent="0.25">
      <c r="A209">
        <v>208</v>
      </c>
      <c r="B209" t="s">
        <v>10</v>
      </c>
      <c r="C209" t="s">
        <v>178</v>
      </c>
      <c r="D209" t="s">
        <v>179</v>
      </c>
      <c r="E209">
        <v>0</v>
      </c>
      <c r="H209" t="s">
        <v>14</v>
      </c>
      <c r="I209" t="s">
        <v>142</v>
      </c>
      <c r="J209" s="2">
        <v>1370.1148308228101</v>
      </c>
      <c r="K209" t="str">
        <f t="shared" si="12"/>
        <v>Disadvantage Zone Transit Accessibility Off Peak for Jobs 0</v>
      </c>
      <c r="O209" t="s">
        <v>401</v>
      </c>
    </row>
    <row r="210" spans="1:15" x14ac:dyDescent="0.25">
      <c r="A210">
        <v>209</v>
      </c>
      <c r="B210" t="s">
        <v>10</v>
      </c>
      <c r="C210" t="s">
        <v>178</v>
      </c>
      <c r="D210" t="s">
        <v>179</v>
      </c>
      <c r="E210">
        <v>1</v>
      </c>
      <c r="H210" t="s">
        <v>14</v>
      </c>
      <c r="I210" t="s">
        <v>142</v>
      </c>
      <c r="J210" s="2">
        <v>2412.6003405087299</v>
      </c>
      <c r="K210" t="str">
        <f t="shared" si="12"/>
        <v>Disadvantage Zone Transit Accessibility Off Peak for Jobs 1</v>
      </c>
      <c r="O210" t="s">
        <v>402</v>
      </c>
    </row>
    <row r="211" spans="1:15" x14ac:dyDescent="0.25">
      <c r="A211">
        <v>210</v>
      </c>
      <c r="B211" t="s">
        <v>10</v>
      </c>
      <c r="C211" t="s">
        <v>178</v>
      </c>
      <c r="D211" t="s">
        <v>179</v>
      </c>
      <c r="E211">
        <v>0</v>
      </c>
      <c r="H211" t="s">
        <v>14</v>
      </c>
      <c r="I211" t="s">
        <v>143</v>
      </c>
      <c r="J211" s="2">
        <v>1590.32505180518</v>
      </c>
      <c r="K211" t="str">
        <f t="shared" si="12"/>
        <v>Disadvantage Zone Transit Accessibility Peak for Jobs 0</v>
      </c>
      <c r="O211" t="s">
        <v>403</v>
      </c>
    </row>
    <row r="212" spans="1:15" x14ac:dyDescent="0.25">
      <c r="A212">
        <v>211</v>
      </c>
      <c r="B212" t="s">
        <v>10</v>
      </c>
      <c r="C212" t="s">
        <v>178</v>
      </c>
      <c r="D212" t="s">
        <v>179</v>
      </c>
      <c r="E212">
        <v>1</v>
      </c>
      <c r="H212" t="s">
        <v>14</v>
      </c>
      <c r="I212" t="s">
        <v>143</v>
      </c>
      <c r="J212" s="2">
        <v>2803.65627985333</v>
      </c>
      <c r="K212" t="str">
        <f t="shared" si="12"/>
        <v>Disadvantage Zone Transit Accessibility Peak for Jobs 1</v>
      </c>
      <c r="O212" t="s">
        <v>404</v>
      </c>
    </row>
    <row r="213" spans="1:15" x14ac:dyDescent="0.25">
      <c r="A213">
        <v>212</v>
      </c>
      <c r="B213" t="s">
        <v>10</v>
      </c>
      <c r="C213" t="s">
        <v>178</v>
      </c>
      <c r="D213" t="s">
        <v>179</v>
      </c>
      <c r="E213">
        <v>0</v>
      </c>
      <c r="H213" t="s">
        <v>14</v>
      </c>
      <c r="I213" t="s">
        <v>144</v>
      </c>
      <c r="J213" s="2">
        <v>24289.864260242499</v>
      </c>
      <c r="K213" t="str">
        <f t="shared" si="12"/>
        <v>Disadvantage Zone Transit Accessibility Off Peak within 45 Minutes for Jobs 0</v>
      </c>
      <c r="O213" t="s">
        <v>405</v>
      </c>
    </row>
    <row r="214" spans="1:15" x14ac:dyDescent="0.25">
      <c r="A214">
        <v>213</v>
      </c>
      <c r="B214" t="s">
        <v>10</v>
      </c>
      <c r="C214" t="s">
        <v>178</v>
      </c>
      <c r="D214" t="s">
        <v>179</v>
      </c>
      <c r="E214">
        <v>1</v>
      </c>
      <c r="H214" t="s">
        <v>14</v>
      </c>
      <c r="I214" t="s">
        <v>144</v>
      </c>
      <c r="J214" s="2">
        <v>51956.802543085803</v>
      </c>
      <c r="K214" t="str">
        <f t="shared" si="12"/>
        <v>Disadvantage Zone Transit Accessibility Off Peak within 45 Minutes for Jobs 1</v>
      </c>
      <c r="O214" t="s">
        <v>406</v>
      </c>
    </row>
    <row r="215" spans="1:15" x14ac:dyDescent="0.25">
      <c r="A215">
        <v>214</v>
      </c>
      <c r="B215" t="s">
        <v>10</v>
      </c>
      <c r="C215" t="s">
        <v>178</v>
      </c>
      <c r="D215" t="s">
        <v>179</v>
      </c>
      <c r="E215">
        <v>0</v>
      </c>
      <c r="H215" t="s">
        <v>14</v>
      </c>
      <c r="I215" t="s">
        <v>150</v>
      </c>
      <c r="J215" s="2">
        <v>28113.1575775077</v>
      </c>
      <c r="K215" t="str">
        <f t="shared" si="12"/>
        <v>Disadvantage Zone Transit Accessibility Peak within 45 Minutes for Jobs 0</v>
      </c>
      <c r="O215" t="s">
        <v>407</v>
      </c>
    </row>
    <row r="216" spans="1:15" x14ac:dyDescent="0.25">
      <c r="A216">
        <v>215</v>
      </c>
      <c r="B216" t="s">
        <v>10</v>
      </c>
      <c r="C216" t="s">
        <v>178</v>
      </c>
      <c r="D216" t="s">
        <v>179</v>
      </c>
      <c r="E216">
        <v>1</v>
      </c>
      <c r="H216" t="s">
        <v>14</v>
      </c>
      <c r="I216" t="s">
        <v>150</v>
      </c>
      <c r="J216" s="2">
        <v>58857.413071105701</v>
      </c>
      <c r="K216" t="str">
        <f t="shared" si="12"/>
        <v>Disadvantage Zone Transit Accessibility Peak within 45 Minutes for Jobs 1</v>
      </c>
      <c r="O216" t="s">
        <v>408</v>
      </c>
    </row>
    <row r="217" spans="1:15" x14ac:dyDescent="0.25">
      <c r="A217">
        <v>216</v>
      </c>
      <c r="B217" t="s">
        <v>10</v>
      </c>
      <c r="C217" t="s">
        <v>178</v>
      </c>
      <c r="D217" t="s">
        <v>179</v>
      </c>
      <c r="E217">
        <v>0</v>
      </c>
      <c r="H217" t="s">
        <v>14</v>
      </c>
      <c r="I217" t="s">
        <v>145</v>
      </c>
      <c r="J217" s="2">
        <v>51861.067840028503</v>
      </c>
      <c r="K217" t="str">
        <f t="shared" si="12"/>
        <v>Disadvantage Zone Transit Accessibility Off Peak within 60 Minutes for Jobs 0</v>
      </c>
      <c r="O217" t="s">
        <v>409</v>
      </c>
    </row>
    <row r="218" spans="1:15" x14ac:dyDescent="0.25">
      <c r="A218">
        <v>217</v>
      </c>
      <c r="B218" t="s">
        <v>10</v>
      </c>
      <c r="C218" t="s">
        <v>178</v>
      </c>
      <c r="D218" t="s">
        <v>179</v>
      </c>
      <c r="E218">
        <v>1</v>
      </c>
      <c r="H218" t="s">
        <v>14</v>
      </c>
      <c r="I218" t="s">
        <v>145</v>
      </c>
      <c r="J218" s="2">
        <v>113088.90061671801</v>
      </c>
      <c r="K218" t="str">
        <f t="shared" si="12"/>
        <v>Disadvantage Zone Transit Accessibility Off Peak within 60 Minutes for Jobs 1</v>
      </c>
      <c r="O218" t="s">
        <v>410</v>
      </c>
    </row>
    <row r="219" spans="1:15" x14ac:dyDescent="0.25">
      <c r="A219">
        <v>218</v>
      </c>
      <c r="B219" t="s">
        <v>10</v>
      </c>
      <c r="C219" t="s">
        <v>178</v>
      </c>
      <c r="D219" t="s">
        <v>179</v>
      </c>
      <c r="E219">
        <v>0</v>
      </c>
      <c r="H219" t="s">
        <v>14</v>
      </c>
      <c r="I219" t="s">
        <v>151</v>
      </c>
      <c r="J219" s="2">
        <v>56084.755704147297</v>
      </c>
      <c r="K219" t="str">
        <f t="shared" si="12"/>
        <v>Disadvantage Zone Transit Accessibility Peak within 60 Minutes for Jobs 0</v>
      </c>
      <c r="O219" t="s">
        <v>411</v>
      </c>
    </row>
    <row r="220" spans="1:15" x14ac:dyDescent="0.25">
      <c r="A220">
        <v>219</v>
      </c>
      <c r="B220" t="s">
        <v>10</v>
      </c>
      <c r="C220" t="s">
        <v>178</v>
      </c>
      <c r="D220" t="s">
        <v>179</v>
      </c>
      <c r="E220">
        <v>1</v>
      </c>
      <c r="H220" t="s">
        <v>14</v>
      </c>
      <c r="I220" t="s">
        <v>151</v>
      </c>
      <c r="J220" s="2">
        <v>119646.791542657</v>
      </c>
      <c r="K220" t="str">
        <f t="shared" si="12"/>
        <v>Disadvantage Zone Transit Accessibility Peak within 60 Minutes for Jobs 1</v>
      </c>
      <c r="O220" t="s">
        <v>412</v>
      </c>
    </row>
    <row r="221" spans="1:15" x14ac:dyDescent="0.25">
      <c r="A221">
        <v>220</v>
      </c>
      <c r="B221" t="s">
        <v>10</v>
      </c>
      <c r="C221" t="s">
        <v>178</v>
      </c>
      <c r="D221" t="s">
        <v>179</v>
      </c>
      <c r="E221">
        <v>0</v>
      </c>
      <c r="H221" t="s">
        <v>14</v>
      </c>
      <c r="I221" t="s">
        <v>146</v>
      </c>
      <c r="J221" s="2">
        <v>95474.523705618005</v>
      </c>
      <c r="K221" t="str">
        <f t="shared" si="12"/>
        <v>Disadvantage Zone Transit Accessibility Off Peak within 90 Minutes for Jobs 0</v>
      </c>
      <c r="O221" t="s">
        <v>413</v>
      </c>
    </row>
    <row r="222" spans="1:15" x14ac:dyDescent="0.25">
      <c r="A222">
        <v>221</v>
      </c>
      <c r="B222" t="s">
        <v>10</v>
      </c>
      <c r="C222" t="s">
        <v>178</v>
      </c>
      <c r="D222" t="s">
        <v>179</v>
      </c>
      <c r="E222">
        <v>1</v>
      </c>
      <c r="H222" t="s">
        <v>14</v>
      </c>
      <c r="I222" t="s">
        <v>146</v>
      </c>
      <c r="J222" s="2">
        <v>209001.64333233199</v>
      </c>
      <c r="K222" t="str">
        <f t="shared" si="12"/>
        <v>Disadvantage Zone Transit Accessibility Off Peak within 90 Minutes for Jobs 1</v>
      </c>
      <c r="O222" t="s">
        <v>414</v>
      </c>
    </row>
    <row r="223" spans="1:15" x14ac:dyDescent="0.25">
      <c r="A223">
        <v>222</v>
      </c>
      <c r="B223" t="s">
        <v>10</v>
      </c>
      <c r="C223" t="s">
        <v>178</v>
      </c>
      <c r="D223" t="s">
        <v>179</v>
      </c>
      <c r="E223">
        <v>0</v>
      </c>
      <c r="H223" t="s">
        <v>14</v>
      </c>
      <c r="I223" t="s">
        <v>152</v>
      </c>
      <c r="J223" s="2">
        <v>101728.001125162</v>
      </c>
      <c r="K223" t="str">
        <f t="shared" si="12"/>
        <v>Disadvantage Zone Transit Accessibility Peak within 90 Minutes for Jobs 0</v>
      </c>
      <c r="O223" t="s">
        <v>415</v>
      </c>
    </row>
    <row r="224" spans="1:15" x14ac:dyDescent="0.25">
      <c r="A224">
        <v>223</v>
      </c>
      <c r="B224" t="s">
        <v>10</v>
      </c>
      <c r="C224" t="s">
        <v>178</v>
      </c>
      <c r="D224" t="s">
        <v>179</v>
      </c>
      <c r="E224">
        <v>1</v>
      </c>
      <c r="H224" t="s">
        <v>14</v>
      </c>
      <c r="I224" t="s">
        <v>152</v>
      </c>
      <c r="J224" s="2">
        <v>217028.711115863</v>
      </c>
      <c r="K224" t="str">
        <f t="shared" si="12"/>
        <v>Disadvantage Zone Transit Accessibility Peak within 90 Minutes for Jobs 1</v>
      </c>
      <c r="O224" t="s">
        <v>416</v>
      </c>
    </row>
    <row r="225" spans="1:15" x14ac:dyDescent="0.25">
      <c r="A225">
        <v>224</v>
      </c>
      <c r="B225" t="s">
        <v>10</v>
      </c>
      <c r="C225" t="s">
        <v>180</v>
      </c>
      <c r="D225" t="s">
        <v>179</v>
      </c>
      <c r="E225">
        <v>0</v>
      </c>
      <c r="H225" t="s">
        <v>14</v>
      </c>
      <c r="I225" t="s">
        <v>136</v>
      </c>
      <c r="J225" s="2">
        <v>20738.980237934898</v>
      </c>
      <c r="K225" t="str">
        <f>CONCATENATE("Disadvantage Zone"," ",I225, " for Basic Needs", " ",E225)</f>
        <v>Disadvantage Zone Auto Accessibility Off Peak for Basic Needs 0</v>
      </c>
      <c r="O225" t="s">
        <v>417</v>
      </c>
    </row>
    <row r="226" spans="1:15" x14ac:dyDescent="0.25">
      <c r="A226">
        <v>225</v>
      </c>
      <c r="B226" t="s">
        <v>10</v>
      </c>
      <c r="C226" t="s">
        <v>180</v>
      </c>
      <c r="D226" t="s">
        <v>179</v>
      </c>
      <c r="E226">
        <v>1</v>
      </c>
      <c r="H226" t="s">
        <v>14</v>
      </c>
      <c r="I226" t="s">
        <v>136</v>
      </c>
      <c r="J226" s="2">
        <v>28109.605931783499</v>
      </c>
      <c r="K226" t="str">
        <f t="shared" ref="K226:K248" si="13">CONCATENATE("Disadvantage Zone"," ",I226, " for Basic Needs", " ",E226)</f>
        <v>Disadvantage Zone Auto Accessibility Off Peak for Basic Needs 1</v>
      </c>
      <c r="O226" t="s">
        <v>418</v>
      </c>
    </row>
    <row r="227" spans="1:15" x14ac:dyDescent="0.25">
      <c r="A227">
        <v>226</v>
      </c>
      <c r="B227" t="s">
        <v>10</v>
      </c>
      <c r="C227" t="s">
        <v>180</v>
      </c>
      <c r="D227" t="s">
        <v>179</v>
      </c>
      <c r="E227">
        <v>0</v>
      </c>
      <c r="H227" t="s">
        <v>14</v>
      </c>
      <c r="I227" t="s">
        <v>137</v>
      </c>
      <c r="J227" s="2">
        <v>18311.072220406801</v>
      </c>
      <c r="K227" t="str">
        <f t="shared" si="13"/>
        <v>Disadvantage Zone Auto Accessibility Peak for Basic Needs 0</v>
      </c>
      <c r="O227" t="s">
        <v>419</v>
      </c>
    </row>
    <row r="228" spans="1:15" x14ac:dyDescent="0.25">
      <c r="A228">
        <v>227</v>
      </c>
      <c r="B228" t="s">
        <v>10</v>
      </c>
      <c r="C228" t="s">
        <v>180</v>
      </c>
      <c r="D228" t="s">
        <v>179</v>
      </c>
      <c r="E228">
        <v>1</v>
      </c>
      <c r="H228" t="s">
        <v>14</v>
      </c>
      <c r="I228" t="s">
        <v>137</v>
      </c>
      <c r="J228" s="2">
        <v>24106.5485416802</v>
      </c>
      <c r="K228" t="str">
        <f t="shared" si="13"/>
        <v>Disadvantage Zone Auto Accessibility Peak for Basic Needs 1</v>
      </c>
      <c r="O228" t="s">
        <v>420</v>
      </c>
    </row>
    <row r="229" spans="1:15" x14ac:dyDescent="0.25">
      <c r="A229">
        <v>228</v>
      </c>
      <c r="B229" t="s">
        <v>10</v>
      </c>
      <c r="C229" t="s">
        <v>180</v>
      </c>
      <c r="D229" t="s">
        <v>179</v>
      </c>
      <c r="E229">
        <v>0</v>
      </c>
      <c r="H229" t="s">
        <v>14</v>
      </c>
      <c r="I229" t="s">
        <v>138</v>
      </c>
      <c r="J229" s="2">
        <v>100437.83889614401</v>
      </c>
      <c r="K229" t="str">
        <f t="shared" si="13"/>
        <v>Disadvantage Zone Auto Accessibility Off Peak within 30 Minutes for Basic Needs 0</v>
      </c>
      <c r="O229" t="s">
        <v>421</v>
      </c>
    </row>
    <row r="230" spans="1:15" x14ac:dyDescent="0.25">
      <c r="A230">
        <v>229</v>
      </c>
      <c r="B230" t="s">
        <v>10</v>
      </c>
      <c r="C230" t="s">
        <v>180</v>
      </c>
      <c r="D230" t="s">
        <v>179</v>
      </c>
      <c r="E230">
        <v>1</v>
      </c>
      <c r="H230" t="s">
        <v>14</v>
      </c>
      <c r="I230" t="s">
        <v>138</v>
      </c>
      <c r="J230" s="2">
        <v>122877.58439797899</v>
      </c>
      <c r="K230" t="str">
        <f t="shared" si="13"/>
        <v>Disadvantage Zone Auto Accessibility Off Peak within 30 Minutes for Basic Needs 1</v>
      </c>
      <c r="O230" t="s">
        <v>422</v>
      </c>
    </row>
    <row r="231" spans="1:15" x14ac:dyDescent="0.25">
      <c r="A231">
        <v>230</v>
      </c>
      <c r="B231" t="s">
        <v>10</v>
      </c>
      <c r="C231" t="s">
        <v>180</v>
      </c>
      <c r="D231" t="s">
        <v>179</v>
      </c>
      <c r="E231">
        <v>0</v>
      </c>
      <c r="H231" t="s">
        <v>14</v>
      </c>
      <c r="I231" t="s">
        <v>139</v>
      </c>
      <c r="J231" s="2">
        <v>89343.377679514</v>
      </c>
      <c r="K231" t="str">
        <f t="shared" si="13"/>
        <v>Disadvantage Zone Auto Accessibility Peak within 30 Minutes for Basic Needs 0</v>
      </c>
      <c r="O231" t="s">
        <v>423</v>
      </c>
    </row>
    <row r="232" spans="1:15" x14ac:dyDescent="0.25">
      <c r="A232">
        <v>231</v>
      </c>
      <c r="B232" t="s">
        <v>10</v>
      </c>
      <c r="C232" t="s">
        <v>180</v>
      </c>
      <c r="D232" t="s">
        <v>179</v>
      </c>
      <c r="E232">
        <v>1</v>
      </c>
      <c r="H232" t="s">
        <v>14</v>
      </c>
      <c r="I232" t="s">
        <v>139</v>
      </c>
      <c r="J232" s="2">
        <v>108835.148590727</v>
      </c>
      <c r="K232" t="str">
        <f t="shared" si="13"/>
        <v>Disadvantage Zone Auto Accessibility Peak within 30 Minutes for Basic Needs 1</v>
      </c>
      <c r="O232" t="s">
        <v>424</v>
      </c>
    </row>
    <row r="233" spans="1:15" x14ac:dyDescent="0.25">
      <c r="A233">
        <v>232</v>
      </c>
      <c r="B233" t="s">
        <v>10</v>
      </c>
      <c r="C233" t="s">
        <v>180</v>
      </c>
      <c r="D233" t="s">
        <v>179</v>
      </c>
      <c r="E233">
        <v>0</v>
      </c>
      <c r="H233" t="s">
        <v>14</v>
      </c>
      <c r="I233" t="s">
        <v>142</v>
      </c>
      <c r="J233" s="2">
        <v>710.01991777160799</v>
      </c>
      <c r="K233" t="str">
        <f t="shared" si="13"/>
        <v>Disadvantage Zone Transit Accessibility Off Peak for Basic Needs 0</v>
      </c>
      <c r="O233" t="s">
        <v>425</v>
      </c>
    </row>
    <row r="234" spans="1:15" x14ac:dyDescent="0.25">
      <c r="A234">
        <v>233</v>
      </c>
      <c r="B234" t="s">
        <v>10</v>
      </c>
      <c r="C234" t="s">
        <v>180</v>
      </c>
      <c r="D234" t="s">
        <v>179</v>
      </c>
      <c r="E234">
        <v>1</v>
      </c>
      <c r="H234" t="s">
        <v>14</v>
      </c>
      <c r="I234" t="s">
        <v>142</v>
      </c>
      <c r="J234" s="2">
        <v>1054.26042560664</v>
      </c>
      <c r="K234" t="str">
        <f t="shared" si="13"/>
        <v>Disadvantage Zone Transit Accessibility Off Peak for Basic Needs 1</v>
      </c>
      <c r="O234" t="s">
        <v>426</v>
      </c>
    </row>
    <row r="235" spans="1:15" x14ac:dyDescent="0.25">
      <c r="A235">
        <v>234</v>
      </c>
      <c r="B235" t="s">
        <v>10</v>
      </c>
      <c r="C235" t="s">
        <v>180</v>
      </c>
      <c r="D235" t="s">
        <v>179</v>
      </c>
      <c r="E235">
        <v>0</v>
      </c>
      <c r="H235" t="s">
        <v>14</v>
      </c>
      <c r="I235" t="s">
        <v>143</v>
      </c>
      <c r="J235" s="2">
        <v>830.34312348138997</v>
      </c>
      <c r="K235" t="str">
        <f t="shared" si="13"/>
        <v>Disadvantage Zone Transit Accessibility Peak for Basic Needs 0</v>
      </c>
      <c r="O235" t="s">
        <v>427</v>
      </c>
    </row>
    <row r="236" spans="1:15" x14ac:dyDescent="0.25">
      <c r="A236">
        <v>235</v>
      </c>
      <c r="B236" t="s">
        <v>10</v>
      </c>
      <c r="C236" t="s">
        <v>180</v>
      </c>
      <c r="D236" t="s">
        <v>179</v>
      </c>
      <c r="E236">
        <v>1</v>
      </c>
      <c r="H236" t="s">
        <v>14</v>
      </c>
      <c r="I236" t="s">
        <v>143</v>
      </c>
      <c r="J236" s="2">
        <v>1257.79555851344</v>
      </c>
      <c r="K236" t="str">
        <f t="shared" si="13"/>
        <v>Disadvantage Zone Transit Accessibility Peak for Basic Needs 1</v>
      </c>
      <c r="O236" t="s">
        <v>428</v>
      </c>
    </row>
    <row r="237" spans="1:15" x14ac:dyDescent="0.25">
      <c r="A237">
        <v>236</v>
      </c>
      <c r="B237" t="s">
        <v>10</v>
      </c>
      <c r="C237" t="s">
        <v>180</v>
      </c>
      <c r="D237" t="s">
        <v>179</v>
      </c>
      <c r="E237">
        <v>0</v>
      </c>
      <c r="H237" t="s">
        <v>14</v>
      </c>
      <c r="I237" t="s">
        <v>144</v>
      </c>
      <c r="J237" s="2">
        <v>12191.3173829225</v>
      </c>
      <c r="K237" t="str">
        <f t="shared" si="13"/>
        <v>Disadvantage Zone Transit Accessibility Off Peak within 45 Minutes for Basic Needs 0</v>
      </c>
      <c r="O237" t="s">
        <v>429</v>
      </c>
    </row>
    <row r="238" spans="1:15" x14ac:dyDescent="0.25">
      <c r="A238">
        <v>237</v>
      </c>
      <c r="B238" t="s">
        <v>10</v>
      </c>
      <c r="C238" t="s">
        <v>180</v>
      </c>
      <c r="D238" t="s">
        <v>179</v>
      </c>
      <c r="E238">
        <v>1</v>
      </c>
      <c r="H238" t="s">
        <v>14</v>
      </c>
      <c r="I238" t="s">
        <v>144</v>
      </c>
      <c r="J238" s="2">
        <v>23109.0214078014</v>
      </c>
      <c r="K238" t="str">
        <f t="shared" si="13"/>
        <v>Disadvantage Zone Transit Accessibility Off Peak within 45 Minutes for Basic Needs 1</v>
      </c>
      <c r="O238" t="s">
        <v>430</v>
      </c>
    </row>
    <row r="239" spans="1:15" x14ac:dyDescent="0.25">
      <c r="A239">
        <v>238</v>
      </c>
      <c r="B239" t="s">
        <v>10</v>
      </c>
      <c r="C239" t="s">
        <v>180</v>
      </c>
      <c r="D239" t="s">
        <v>179</v>
      </c>
      <c r="E239">
        <v>0</v>
      </c>
      <c r="H239" t="s">
        <v>14</v>
      </c>
      <c r="I239" t="s">
        <v>150</v>
      </c>
      <c r="J239" s="2">
        <v>14120.813865710599</v>
      </c>
      <c r="K239" t="str">
        <f t="shared" si="13"/>
        <v>Disadvantage Zone Transit Accessibility Peak within 45 Minutes for Basic Needs 0</v>
      </c>
      <c r="O239" t="s">
        <v>431</v>
      </c>
    </row>
    <row r="240" spans="1:15" x14ac:dyDescent="0.25">
      <c r="A240">
        <v>239</v>
      </c>
      <c r="B240" t="s">
        <v>10</v>
      </c>
      <c r="C240" t="s">
        <v>180</v>
      </c>
      <c r="D240" t="s">
        <v>179</v>
      </c>
      <c r="E240">
        <v>1</v>
      </c>
      <c r="H240" t="s">
        <v>14</v>
      </c>
      <c r="I240" t="s">
        <v>150</v>
      </c>
      <c r="J240" s="2">
        <v>26937.179902491</v>
      </c>
      <c r="K240" t="str">
        <f t="shared" si="13"/>
        <v>Disadvantage Zone Transit Accessibility Peak within 45 Minutes for Basic Needs 1</v>
      </c>
      <c r="O240" t="s">
        <v>432</v>
      </c>
    </row>
    <row r="241" spans="1:15" x14ac:dyDescent="0.25">
      <c r="A241">
        <v>240</v>
      </c>
      <c r="B241" t="s">
        <v>10</v>
      </c>
      <c r="C241" t="s">
        <v>180</v>
      </c>
      <c r="D241" t="s">
        <v>179</v>
      </c>
      <c r="E241">
        <v>0</v>
      </c>
      <c r="H241" t="s">
        <v>14</v>
      </c>
      <c r="I241" t="s">
        <v>145</v>
      </c>
      <c r="J241" s="2">
        <v>24326.1282336927</v>
      </c>
      <c r="K241" t="str">
        <f t="shared" si="13"/>
        <v>Disadvantage Zone Transit Accessibility Off Peak within 60 Minutes for Basic Needs 0</v>
      </c>
      <c r="O241" t="s">
        <v>433</v>
      </c>
    </row>
    <row r="242" spans="1:15" x14ac:dyDescent="0.25">
      <c r="A242">
        <v>241</v>
      </c>
      <c r="B242" t="s">
        <v>10</v>
      </c>
      <c r="C242" t="s">
        <v>180</v>
      </c>
      <c r="D242" t="s">
        <v>179</v>
      </c>
      <c r="E242">
        <v>1</v>
      </c>
      <c r="H242" t="s">
        <v>14</v>
      </c>
      <c r="I242" t="s">
        <v>145</v>
      </c>
      <c r="J242" s="2">
        <v>50474.621828031202</v>
      </c>
      <c r="K242" t="str">
        <f t="shared" si="13"/>
        <v>Disadvantage Zone Transit Accessibility Off Peak within 60 Minutes for Basic Needs 1</v>
      </c>
      <c r="O242" t="s">
        <v>434</v>
      </c>
    </row>
    <row r="243" spans="1:15" x14ac:dyDescent="0.25">
      <c r="A243">
        <v>242</v>
      </c>
      <c r="B243" t="s">
        <v>10</v>
      </c>
      <c r="C243" t="s">
        <v>180</v>
      </c>
      <c r="D243" t="s">
        <v>179</v>
      </c>
      <c r="E243">
        <v>0</v>
      </c>
      <c r="H243" t="s">
        <v>14</v>
      </c>
      <c r="I243" t="s">
        <v>151</v>
      </c>
      <c r="J243" s="2">
        <v>26491.8710385923</v>
      </c>
      <c r="K243" t="str">
        <f t="shared" si="13"/>
        <v>Disadvantage Zone Transit Accessibility Peak within 60 Minutes for Basic Needs 0</v>
      </c>
      <c r="O243" t="s">
        <v>435</v>
      </c>
    </row>
    <row r="244" spans="1:15" x14ac:dyDescent="0.25">
      <c r="A244">
        <v>243</v>
      </c>
      <c r="B244" t="s">
        <v>10</v>
      </c>
      <c r="C244" t="s">
        <v>180</v>
      </c>
      <c r="D244" t="s">
        <v>179</v>
      </c>
      <c r="E244">
        <v>1</v>
      </c>
      <c r="H244" t="s">
        <v>14</v>
      </c>
      <c r="I244" t="s">
        <v>151</v>
      </c>
      <c r="J244" s="2">
        <v>53709.594316901399</v>
      </c>
      <c r="K244" t="str">
        <f t="shared" si="13"/>
        <v>Disadvantage Zone Transit Accessibility Peak within 60 Minutes for Basic Needs 1</v>
      </c>
      <c r="O244" t="s">
        <v>436</v>
      </c>
    </row>
    <row r="245" spans="1:15" x14ac:dyDescent="0.25">
      <c r="A245">
        <v>244</v>
      </c>
      <c r="B245" t="s">
        <v>10</v>
      </c>
      <c r="C245" t="s">
        <v>180</v>
      </c>
      <c r="D245" t="s">
        <v>179</v>
      </c>
      <c r="E245">
        <v>0</v>
      </c>
      <c r="H245" t="s">
        <v>14</v>
      </c>
      <c r="I245" t="s">
        <v>146</v>
      </c>
      <c r="J245" s="2">
        <v>43041.531578483999</v>
      </c>
      <c r="K245" t="str">
        <f t="shared" si="13"/>
        <v>Disadvantage Zone Transit Accessibility Off Peak within 90 Minutes for Basic Needs 0</v>
      </c>
      <c r="O245" t="s">
        <v>437</v>
      </c>
    </row>
    <row r="246" spans="1:15" x14ac:dyDescent="0.25">
      <c r="A246">
        <v>245</v>
      </c>
      <c r="B246" t="s">
        <v>10</v>
      </c>
      <c r="C246" t="s">
        <v>180</v>
      </c>
      <c r="D246" t="s">
        <v>179</v>
      </c>
      <c r="E246">
        <v>1</v>
      </c>
      <c r="H246" t="s">
        <v>14</v>
      </c>
      <c r="I246" t="s">
        <v>146</v>
      </c>
      <c r="J246" s="2">
        <v>93200.099084971793</v>
      </c>
      <c r="K246" t="str">
        <f t="shared" si="13"/>
        <v>Disadvantage Zone Transit Accessibility Off Peak within 90 Minutes for Basic Needs 1</v>
      </c>
      <c r="O246" t="s">
        <v>438</v>
      </c>
    </row>
    <row r="247" spans="1:15" x14ac:dyDescent="0.25">
      <c r="A247">
        <v>246</v>
      </c>
      <c r="B247" t="s">
        <v>10</v>
      </c>
      <c r="C247" t="s">
        <v>180</v>
      </c>
      <c r="D247" t="s">
        <v>179</v>
      </c>
      <c r="E247">
        <v>0</v>
      </c>
      <c r="H247" t="s">
        <v>14</v>
      </c>
      <c r="I247" t="s">
        <v>152</v>
      </c>
      <c r="J247" s="2">
        <v>45612.051061321901</v>
      </c>
      <c r="K247" t="str">
        <f t="shared" si="13"/>
        <v>Disadvantage Zone Transit Accessibility Peak within 90 Minutes for Basic Needs 0</v>
      </c>
      <c r="O247" t="s">
        <v>439</v>
      </c>
    </row>
    <row r="248" spans="1:15" x14ac:dyDescent="0.25">
      <c r="A248">
        <v>247</v>
      </c>
      <c r="B248" t="s">
        <v>10</v>
      </c>
      <c r="C248" t="s">
        <v>180</v>
      </c>
      <c r="D248" t="s">
        <v>179</v>
      </c>
      <c r="E248">
        <v>1</v>
      </c>
      <c r="H248" t="s">
        <v>14</v>
      </c>
      <c r="I248" t="s">
        <v>152</v>
      </c>
      <c r="J248" s="2">
        <v>95635.741329188895</v>
      </c>
      <c r="K248" t="str">
        <f t="shared" si="13"/>
        <v>Disadvantage Zone Transit Accessibility Peak within 90 Minutes for Basic Needs 1</v>
      </c>
      <c r="O248" t="s">
        <v>440</v>
      </c>
    </row>
    <row r="249" spans="1:15" x14ac:dyDescent="0.25">
      <c r="A249">
        <v>248</v>
      </c>
      <c r="K249" t="s">
        <v>188</v>
      </c>
      <c r="L249" t="s">
        <v>182</v>
      </c>
      <c r="O249" t="s">
        <v>441</v>
      </c>
    </row>
    <row r="250" spans="1:15" x14ac:dyDescent="0.25">
      <c r="A250">
        <v>249</v>
      </c>
      <c r="K250" t="s">
        <v>187</v>
      </c>
      <c r="L250" t="s">
        <v>182</v>
      </c>
    </row>
    <row r="251" spans="1:15" x14ac:dyDescent="0.25">
      <c r="A251">
        <v>250</v>
      </c>
      <c r="K251" t="s">
        <v>186</v>
      </c>
      <c r="L251" t="s">
        <v>182</v>
      </c>
    </row>
    <row r="252" spans="1:15" x14ac:dyDescent="0.25">
      <c r="A252">
        <v>251</v>
      </c>
      <c r="K252" t="s">
        <v>185</v>
      </c>
      <c r="L252" t="s">
        <v>182</v>
      </c>
    </row>
    <row r="253" spans="1:15" x14ac:dyDescent="0.25">
      <c r="A253">
        <v>252</v>
      </c>
      <c r="K253" s="5" t="s">
        <v>183</v>
      </c>
      <c r="L253" t="s">
        <v>182</v>
      </c>
    </row>
    <row r="254" spans="1:15" x14ac:dyDescent="0.25">
      <c r="A254">
        <v>253</v>
      </c>
      <c r="K254" t="s">
        <v>184</v>
      </c>
      <c r="L254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B808E-8616-4D14-9DD1-514419783B7C}">
  <dimension ref="A1:B254"/>
  <sheetViews>
    <sheetView tabSelected="1" topLeftCell="A157" workbookViewId="0">
      <selection activeCell="A8" sqref="A8"/>
    </sheetView>
  </sheetViews>
  <sheetFormatPr defaultRowHeight="15" x14ac:dyDescent="0.25"/>
  <cols>
    <col min="1" max="1" width="77" bestFit="1" customWidth="1"/>
    <col min="2" max="2" width="47.7109375" bestFit="1" customWidth="1"/>
  </cols>
  <sheetData>
    <row r="1" spans="1:2" x14ac:dyDescent="0.25">
      <c r="A1" s="6" t="s">
        <v>9</v>
      </c>
      <c r="B1" s="6" t="s">
        <v>598</v>
      </c>
    </row>
    <row r="2" spans="1:2" x14ac:dyDescent="0.25">
      <c r="A2" t="s">
        <v>16</v>
      </c>
      <c r="B2">
        <v>4</v>
      </c>
    </row>
    <row r="3" spans="1:2" x14ac:dyDescent="0.25">
      <c r="A3" t="s">
        <v>18</v>
      </c>
      <c r="B3">
        <v>4</v>
      </c>
    </row>
    <row r="4" spans="1:2" x14ac:dyDescent="0.25">
      <c r="A4" t="s">
        <v>192</v>
      </c>
      <c r="B4">
        <v>4</v>
      </c>
    </row>
    <row r="5" spans="1:2" x14ac:dyDescent="0.25">
      <c r="A5" t="s">
        <v>21</v>
      </c>
      <c r="B5">
        <v>4</v>
      </c>
    </row>
    <row r="6" spans="1:2" x14ac:dyDescent="0.25">
      <c r="A6" t="s">
        <v>23</v>
      </c>
      <c r="B6">
        <v>4</v>
      </c>
    </row>
    <row r="7" spans="1:2" x14ac:dyDescent="0.25">
      <c r="A7" t="s">
        <v>25</v>
      </c>
      <c r="B7">
        <v>4</v>
      </c>
    </row>
    <row r="8" spans="1:2" x14ac:dyDescent="0.25">
      <c r="A8" t="s">
        <v>27</v>
      </c>
      <c r="B8" t="s">
        <v>599</v>
      </c>
    </row>
    <row r="9" spans="1:2" x14ac:dyDescent="0.25">
      <c r="A9" t="s">
        <v>28</v>
      </c>
      <c r="B9" t="s">
        <v>599</v>
      </c>
    </row>
    <row r="10" spans="1:2" x14ac:dyDescent="0.25">
      <c r="A10" t="s">
        <v>191</v>
      </c>
      <c r="B10">
        <v>3</v>
      </c>
    </row>
    <row r="11" spans="1:2" x14ac:dyDescent="0.25">
      <c r="A11" t="s">
        <v>29</v>
      </c>
      <c r="B11">
        <v>3</v>
      </c>
    </row>
    <row r="12" spans="1:2" x14ac:dyDescent="0.25">
      <c r="A12" t="s">
        <v>30</v>
      </c>
      <c r="B12" t="s">
        <v>599</v>
      </c>
    </row>
    <row r="13" spans="1:2" x14ac:dyDescent="0.25">
      <c r="A13" t="s">
        <v>31</v>
      </c>
      <c r="B13" t="s">
        <v>599</v>
      </c>
    </row>
    <row r="14" spans="1:2" x14ac:dyDescent="0.25">
      <c r="A14" t="s">
        <v>34</v>
      </c>
      <c r="B14">
        <v>1</v>
      </c>
    </row>
    <row r="15" spans="1:2" x14ac:dyDescent="0.25">
      <c r="A15" t="s">
        <v>35</v>
      </c>
      <c r="B15">
        <v>3</v>
      </c>
    </row>
    <row r="16" spans="1:2" x14ac:dyDescent="0.25">
      <c r="A16" t="s">
        <v>36</v>
      </c>
      <c r="B16">
        <v>3</v>
      </c>
    </row>
    <row r="17" spans="1:2" x14ac:dyDescent="0.25">
      <c r="A17" t="s">
        <v>37</v>
      </c>
      <c r="B17">
        <v>3</v>
      </c>
    </row>
    <row r="18" spans="1:2" x14ac:dyDescent="0.25">
      <c r="A18" t="s">
        <v>38</v>
      </c>
      <c r="B18" t="s">
        <v>600</v>
      </c>
    </row>
    <row r="19" spans="1:2" x14ac:dyDescent="0.25">
      <c r="A19" t="s">
        <v>39</v>
      </c>
      <c r="B19">
        <v>3</v>
      </c>
    </row>
    <row r="20" spans="1:2" x14ac:dyDescent="0.25">
      <c r="A20" t="s">
        <v>41</v>
      </c>
      <c r="B20">
        <v>1</v>
      </c>
    </row>
    <row r="21" spans="1:2" x14ac:dyDescent="0.25">
      <c r="A21" t="s">
        <v>42</v>
      </c>
      <c r="B21">
        <v>3</v>
      </c>
    </row>
    <row r="22" spans="1:2" x14ac:dyDescent="0.25">
      <c r="A22" t="s">
        <v>190</v>
      </c>
      <c r="B22">
        <v>3</v>
      </c>
    </row>
    <row r="23" spans="1:2" x14ac:dyDescent="0.25">
      <c r="A23" t="s">
        <v>43</v>
      </c>
      <c r="B23">
        <v>3</v>
      </c>
    </row>
    <row r="24" spans="1:2" x14ac:dyDescent="0.25">
      <c r="A24" t="s">
        <v>44</v>
      </c>
      <c r="B24">
        <v>1</v>
      </c>
    </row>
    <row r="25" spans="1:2" x14ac:dyDescent="0.25">
      <c r="A25" t="s">
        <v>45</v>
      </c>
      <c r="B25">
        <v>2</v>
      </c>
    </row>
    <row r="26" spans="1:2" x14ac:dyDescent="0.25">
      <c r="A26" t="s">
        <v>47</v>
      </c>
      <c r="B26" t="s">
        <v>600</v>
      </c>
    </row>
    <row r="27" spans="1:2" x14ac:dyDescent="0.25">
      <c r="A27" t="s">
        <v>49</v>
      </c>
      <c r="B27">
        <v>6</v>
      </c>
    </row>
    <row r="28" spans="1:2" x14ac:dyDescent="0.25">
      <c r="A28" t="s">
        <v>51</v>
      </c>
      <c r="B28">
        <v>6</v>
      </c>
    </row>
    <row r="29" spans="1:2" x14ac:dyDescent="0.25">
      <c r="A29" t="s">
        <v>53</v>
      </c>
      <c r="B29" t="s">
        <v>599</v>
      </c>
    </row>
    <row r="30" spans="1:2" x14ac:dyDescent="0.25">
      <c r="A30" t="s">
        <v>55</v>
      </c>
      <c r="B30" t="s">
        <v>600</v>
      </c>
    </row>
    <row r="31" spans="1:2" x14ac:dyDescent="0.25">
      <c r="A31" t="s">
        <v>57</v>
      </c>
      <c r="B31" t="s">
        <v>600</v>
      </c>
    </row>
    <row r="32" spans="1:2" x14ac:dyDescent="0.25">
      <c r="A32" t="s">
        <v>59</v>
      </c>
      <c r="B32" t="s">
        <v>599</v>
      </c>
    </row>
    <row r="33" spans="1:2" x14ac:dyDescent="0.25">
      <c r="A33" t="s">
        <v>60</v>
      </c>
      <c r="B33">
        <v>4</v>
      </c>
    </row>
    <row r="34" spans="1:2" x14ac:dyDescent="0.25">
      <c r="A34" t="s">
        <v>61</v>
      </c>
      <c r="B34">
        <v>4</v>
      </c>
    </row>
    <row r="35" spans="1:2" x14ac:dyDescent="0.25">
      <c r="A35" t="s">
        <v>62</v>
      </c>
      <c r="B35" t="s">
        <v>599</v>
      </c>
    </row>
    <row r="36" spans="1:2" x14ac:dyDescent="0.25">
      <c r="A36" t="s">
        <v>63</v>
      </c>
      <c r="B36">
        <v>3</v>
      </c>
    </row>
    <row r="37" spans="1:2" x14ac:dyDescent="0.25">
      <c r="A37" t="s">
        <v>65</v>
      </c>
      <c r="B37" t="s">
        <v>599</v>
      </c>
    </row>
    <row r="38" spans="1:2" x14ac:dyDescent="0.25">
      <c r="A38" s="1" t="s">
        <v>69</v>
      </c>
      <c r="B38">
        <v>6</v>
      </c>
    </row>
    <row r="39" spans="1:2" x14ac:dyDescent="0.25">
      <c r="A39" s="1" t="s">
        <v>71</v>
      </c>
      <c r="B39">
        <v>6</v>
      </c>
    </row>
    <row r="40" spans="1:2" x14ac:dyDescent="0.25">
      <c r="A40" s="1" t="s">
        <v>73</v>
      </c>
      <c r="B40">
        <v>6</v>
      </c>
    </row>
    <row r="41" spans="1:2" x14ac:dyDescent="0.25">
      <c r="A41" s="1" t="s">
        <v>75</v>
      </c>
      <c r="B41">
        <v>6</v>
      </c>
    </row>
    <row r="42" spans="1:2" x14ac:dyDescent="0.25">
      <c r="A42" s="1" t="s">
        <v>77</v>
      </c>
      <c r="B42">
        <v>6</v>
      </c>
    </row>
    <row r="43" spans="1:2" x14ac:dyDescent="0.25">
      <c r="A43" s="1" t="s">
        <v>79</v>
      </c>
      <c r="B43">
        <v>6</v>
      </c>
    </row>
    <row r="44" spans="1:2" x14ac:dyDescent="0.25">
      <c r="A44" s="1" t="s">
        <v>81</v>
      </c>
      <c r="B44">
        <v>6</v>
      </c>
    </row>
    <row r="45" spans="1:2" x14ac:dyDescent="0.25">
      <c r="A45" t="s">
        <v>86</v>
      </c>
      <c r="B45">
        <v>6</v>
      </c>
    </row>
    <row r="46" spans="1:2" x14ac:dyDescent="0.25">
      <c r="A46" t="s">
        <v>88</v>
      </c>
      <c r="B46">
        <v>6</v>
      </c>
    </row>
    <row r="47" spans="1:2" x14ac:dyDescent="0.25">
      <c r="A47" t="s">
        <v>90</v>
      </c>
      <c r="B47">
        <v>6</v>
      </c>
    </row>
    <row r="48" spans="1:2" x14ac:dyDescent="0.25">
      <c r="A48" t="s">
        <v>92</v>
      </c>
      <c r="B48">
        <v>6</v>
      </c>
    </row>
    <row r="49" spans="1:2" x14ac:dyDescent="0.25">
      <c r="A49" t="s">
        <v>94</v>
      </c>
      <c r="B49">
        <v>6</v>
      </c>
    </row>
    <row r="50" spans="1:2" x14ac:dyDescent="0.25">
      <c r="A50" t="s">
        <v>96</v>
      </c>
      <c r="B50">
        <v>6</v>
      </c>
    </row>
    <row r="51" spans="1:2" x14ac:dyDescent="0.25">
      <c r="A51" t="s">
        <v>97</v>
      </c>
      <c r="B51">
        <v>6</v>
      </c>
    </row>
    <row r="52" spans="1:2" x14ac:dyDescent="0.25">
      <c r="A52" t="s">
        <v>98</v>
      </c>
      <c r="B52">
        <v>6</v>
      </c>
    </row>
    <row r="53" spans="1:2" x14ac:dyDescent="0.25">
      <c r="A53" t="s">
        <v>99</v>
      </c>
      <c r="B53">
        <v>6</v>
      </c>
    </row>
    <row r="54" spans="1:2" x14ac:dyDescent="0.25">
      <c r="A54" t="s">
        <v>100</v>
      </c>
      <c r="B54">
        <v>6</v>
      </c>
    </row>
    <row r="55" spans="1:2" x14ac:dyDescent="0.25">
      <c r="A55" s="1" t="s">
        <v>105</v>
      </c>
      <c r="B55">
        <v>6</v>
      </c>
    </row>
    <row r="56" spans="1:2" x14ac:dyDescent="0.25">
      <c r="A56" s="1" t="s">
        <v>107</v>
      </c>
      <c r="B56">
        <v>6</v>
      </c>
    </row>
    <row r="57" spans="1:2" x14ac:dyDescent="0.25">
      <c r="A57" s="1" t="s">
        <v>109</v>
      </c>
      <c r="B57" t="s">
        <v>599</v>
      </c>
    </row>
    <row r="58" spans="1:2" x14ac:dyDescent="0.25">
      <c r="A58" s="1" t="s">
        <v>111</v>
      </c>
      <c r="B58">
        <v>6</v>
      </c>
    </row>
    <row r="59" spans="1:2" x14ac:dyDescent="0.25">
      <c r="A59" s="1" t="s">
        <v>113</v>
      </c>
      <c r="B59">
        <v>6</v>
      </c>
    </row>
    <row r="60" spans="1:2" x14ac:dyDescent="0.25">
      <c r="A60" s="1" t="s">
        <v>115</v>
      </c>
      <c r="B60">
        <v>6</v>
      </c>
    </row>
    <row r="61" spans="1:2" x14ac:dyDescent="0.25">
      <c r="A61" s="1" t="s">
        <v>117</v>
      </c>
      <c r="B61">
        <v>6</v>
      </c>
    </row>
    <row r="62" spans="1:2" x14ac:dyDescent="0.25">
      <c r="A62" s="1" t="s">
        <v>118</v>
      </c>
      <c r="B62">
        <v>6</v>
      </c>
    </row>
    <row r="63" spans="1:2" x14ac:dyDescent="0.25">
      <c r="A63" s="1" t="s">
        <v>119</v>
      </c>
      <c r="B63" t="s">
        <v>599</v>
      </c>
    </row>
    <row r="64" spans="1:2" x14ac:dyDescent="0.25">
      <c r="A64" s="1" t="s">
        <v>120</v>
      </c>
      <c r="B64">
        <v>6</v>
      </c>
    </row>
    <row r="65" spans="1:2" x14ac:dyDescent="0.25">
      <c r="A65" s="1" t="s">
        <v>121</v>
      </c>
    </row>
    <row r="66" spans="1:2" x14ac:dyDescent="0.25">
      <c r="A66" s="1" t="s">
        <v>122</v>
      </c>
      <c r="B66">
        <v>4</v>
      </c>
    </row>
    <row r="67" spans="1:2" x14ac:dyDescent="0.25">
      <c r="A67" t="s">
        <v>124</v>
      </c>
      <c r="B67">
        <v>4</v>
      </c>
    </row>
    <row r="68" spans="1:2" x14ac:dyDescent="0.25">
      <c r="A68" t="s">
        <v>125</v>
      </c>
      <c r="B68">
        <v>2</v>
      </c>
    </row>
    <row r="69" spans="1:2" x14ac:dyDescent="0.25">
      <c r="A69" t="s">
        <v>127</v>
      </c>
      <c r="B69">
        <v>4</v>
      </c>
    </row>
    <row r="70" spans="1:2" x14ac:dyDescent="0.25">
      <c r="A70" t="s">
        <v>130</v>
      </c>
      <c r="B70" t="s">
        <v>599</v>
      </c>
    </row>
    <row r="71" spans="1:2" x14ac:dyDescent="0.25">
      <c r="A71" t="s">
        <v>132</v>
      </c>
      <c r="B71" t="s">
        <v>599</v>
      </c>
    </row>
    <row r="72" spans="1:2" x14ac:dyDescent="0.25">
      <c r="A72" t="s">
        <v>134</v>
      </c>
      <c r="B72" t="s">
        <v>599</v>
      </c>
    </row>
    <row r="73" spans="1:2" x14ac:dyDescent="0.25">
      <c r="A73" t="s">
        <v>136</v>
      </c>
      <c r="B73">
        <v>4</v>
      </c>
    </row>
    <row r="74" spans="1:2" x14ac:dyDescent="0.25">
      <c r="A74" t="s">
        <v>137</v>
      </c>
      <c r="B74" t="s">
        <v>600</v>
      </c>
    </row>
    <row r="75" spans="1:2" x14ac:dyDescent="0.25">
      <c r="A75" t="s">
        <v>138</v>
      </c>
      <c r="B75">
        <v>4</v>
      </c>
    </row>
    <row r="76" spans="1:2" x14ac:dyDescent="0.25">
      <c r="A76" t="s">
        <v>139</v>
      </c>
      <c r="B76" t="s">
        <v>599</v>
      </c>
    </row>
    <row r="77" spans="1:2" x14ac:dyDescent="0.25">
      <c r="A77" t="s">
        <v>140</v>
      </c>
      <c r="B77">
        <v>4</v>
      </c>
    </row>
    <row r="78" spans="1:2" x14ac:dyDescent="0.25">
      <c r="A78" t="s">
        <v>141</v>
      </c>
      <c r="B78">
        <v>4</v>
      </c>
    </row>
    <row r="79" spans="1:2" x14ac:dyDescent="0.25">
      <c r="A79" t="s">
        <v>142</v>
      </c>
      <c r="B79">
        <v>1</v>
      </c>
    </row>
    <row r="80" spans="1:2" x14ac:dyDescent="0.25">
      <c r="A80" t="s">
        <v>143</v>
      </c>
      <c r="B80" t="s">
        <v>600</v>
      </c>
    </row>
    <row r="81" spans="1:2" x14ac:dyDescent="0.25">
      <c r="A81" t="s">
        <v>144</v>
      </c>
      <c r="B81" t="s">
        <v>599</v>
      </c>
    </row>
    <row r="82" spans="1:2" x14ac:dyDescent="0.25">
      <c r="A82" t="s">
        <v>145</v>
      </c>
      <c r="B82">
        <v>4</v>
      </c>
    </row>
    <row r="83" spans="1:2" x14ac:dyDescent="0.25">
      <c r="A83" t="s">
        <v>146</v>
      </c>
      <c r="B83">
        <v>4</v>
      </c>
    </row>
    <row r="84" spans="1:2" x14ac:dyDescent="0.25">
      <c r="A84" t="s">
        <v>147</v>
      </c>
      <c r="B84">
        <v>4</v>
      </c>
    </row>
    <row r="85" spans="1:2" x14ac:dyDescent="0.25">
      <c r="A85" t="s">
        <v>148</v>
      </c>
      <c r="B85">
        <v>4</v>
      </c>
    </row>
    <row r="86" spans="1:2" x14ac:dyDescent="0.25">
      <c r="A86" t="s">
        <v>149</v>
      </c>
      <c r="B86">
        <v>4</v>
      </c>
    </row>
    <row r="87" spans="1:2" x14ac:dyDescent="0.25">
      <c r="A87" t="s">
        <v>150</v>
      </c>
      <c r="B87">
        <v>2</v>
      </c>
    </row>
    <row r="88" spans="1:2" x14ac:dyDescent="0.25">
      <c r="A88" t="s">
        <v>151</v>
      </c>
      <c r="B88">
        <v>2</v>
      </c>
    </row>
    <row r="89" spans="1:2" x14ac:dyDescent="0.25">
      <c r="A89" t="s">
        <v>152</v>
      </c>
      <c r="B89">
        <v>3</v>
      </c>
    </row>
    <row r="90" spans="1:2" x14ac:dyDescent="0.25">
      <c r="A90" t="s">
        <v>153</v>
      </c>
      <c r="B90">
        <v>2</v>
      </c>
    </row>
    <row r="91" spans="1:2" x14ac:dyDescent="0.25">
      <c r="A91" t="s">
        <v>154</v>
      </c>
      <c r="B91">
        <v>2</v>
      </c>
    </row>
    <row r="92" spans="1:2" x14ac:dyDescent="0.25">
      <c r="A92" t="s">
        <v>155</v>
      </c>
      <c r="B92">
        <v>3</v>
      </c>
    </row>
    <row r="93" spans="1:2" x14ac:dyDescent="0.25">
      <c r="A93" t="s">
        <v>442</v>
      </c>
      <c r="B93">
        <v>3</v>
      </c>
    </row>
    <row r="94" spans="1:2" x14ac:dyDescent="0.25">
      <c r="A94" t="s">
        <v>443</v>
      </c>
      <c r="B94">
        <v>3</v>
      </c>
    </row>
    <row r="95" spans="1:2" x14ac:dyDescent="0.25">
      <c r="A95" t="s">
        <v>444</v>
      </c>
      <c r="B95">
        <v>5</v>
      </c>
    </row>
    <row r="96" spans="1:2" x14ac:dyDescent="0.25">
      <c r="A96" t="s">
        <v>445</v>
      </c>
      <c r="B96">
        <v>5</v>
      </c>
    </row>
    <row r="97" spans="1:2" x14ac:dyDescent="0.25">
      <c r="A97" t="s">
        <v>446</v>
      </c>
      <c r="B97">
        <v>5</v>
      </c>
    </row>
    <row r="98" spans="1:2" x14ac:dyDescent="0.25">
      <c r="A98" t="s">
        <v>447</v>
      </c>
      <c r="B98">
        <v>5</v>
      </c>
    </row>
    <row r="99" spans="1:2" x14ac:dyDescent="0.25">
      <c r="A99" t="s">
        <v>448</v>
      </c>
      <c r="B99">
        <v>3</v>
      </c>
    </row>
    <row r="100" spans="1:2" x14ac:dyDescent="0.25">
      <c r="A100" t="s">
        <v>449</v>
      </c>
      <c r="B100">
        <v>3</v>
      </c>
    </row>
    <row r="101" spans="1:2" x14ac:dyDescent="0.25">
      <c r="A101" t="s">
        <v>450</v>
      </c>
      <c r="B101">
        <v>5</v>
      </c>
    </row>
    <row r="102" spans="1:2" x14ac:dyDescent="0.25">
      <c r="A102" t="s">
        <v>451</v>
      </c>
      <c r="B102">
        <v>5</v>
      </c>
    </row>
    <row r="103" spans="1:2" x14ac:dyDescent="0.25">
      <c r="A103" t="s">
        <v>452</v>
      </c>
      <c r="B103" s="7">
        <v>3</v>
      </c>
    </row>
    <row r="104" spans="1:2" x14ac:dyDescent="0.25">
      <c r="A104" t="s">
        <v>453</v>
      </c>
      <c r="B104">
        <v>3</v>
      </c>
    </row>
    <row r="105" spans="1:2" x14ac:dyDescent="0.25">
      <c r="A105" t="s">
        <v>454</v>
      </c>
      <c r="B105">
        <v>5</v>
      </c>
    </row>
    <row r="106" spans="1:2" x14ac:dyDescent="0.25">
      <c r="A106" t="s">
        <v>455</v>
      </c>
      <c r="B106">
        <v>5</v>
      </c>
    </row>
    <row r="107" spans="1:2" x14ac:dyDescent="0.25">
      <c r="A107" t="s">
        <v>456</v>
      </c>
      <c r="B107">
        <v>5</v>
      </c>
    </row>
    <row r="108" spans="1:2" x14ac:dyDescent="0.25">
      <c r="A108" t="s">
        <v>457</v>
      </c>
      <c r="B108">
        <v>5</v>
      </c>
    </row>
    <row r="109" spans="1:2" x14ac:dyDescent="0.25">
      <c r="A109" t="s">
        <v>458</v>
      </c>
      <c r="B109">
        <v>3</v>
      </c>
    </row>
    <row r="110" spans="1:2" x14ac:dyDescent="0.25">
      <c r="A110" t="s">
        <v>459</v>
      </c>
      <c r="B110">
        <v>3</v>
      </c>
    </row>
    <row r="111" spans="1:2" x14ac:dyDescent="0.25">
      <c r="A111" t="s">
        <v>460</v>
      </c>
      <c r="B111">
        <v>5</v>
      </c>
    </row>
    <row r="112" spans="1:2" x14ac:dyDescent="0.25">
      <c r="A112" t="s">
        <v>461</v>
      </c>
      <c r="B112">
        <v>5</v>
      </c>
    </row>
    <row r="113" spans="1:2" x14ac:dyDescent="0.25">
      <c r="A113" t="s">
        <v>462</v>
      </c>
      <c r="B113">
        <v>3</v>
      </c>
    </row>
    <row r="114" spans="1:2" x14ac:dyDescent="0.25">
      <c r="A114" t="s">
        <v>463</v>
      </c>
      <c r="B114">
        <v>5</v>
      </c>
    </row>
    <row r="115" spans="1:2" x14ac:dyDescent="0.25">
      <c r="A115" t="s">
        <v>464</v>
      </c>
      <c r="B115">
        <v>5</v>
      </c>
    </row>
    <row r="116" spans="1:2" x14ac:dyDescent="0.25">
      <c r="A116" t="s">
        <v>465</v>
      </c>
      <c r="B116">
        <v>5</v>
      </c>
    </row>
    <row r="117" spans="1:2" x14ac:dyDescent="0.25">
      <c r="A117" t="s">
        <v>466</v>
      </c>
      <c r="B117">
        <v>3</v>
      </c>
    </row>
    <row r="118" spans="1:2" x14ac:dyDescent="0.25">
      <c r="A118" t="s">
        <v>467</v>
      </c>
      <c r="B118">
        <v>5</v>
      </c>
    </row>
    <row r="119" spans="1:2" x14ac:dyDescent="0.25">
      <c r="A119" t="s">
        <v>468</v>
      </c>
      <c r="B119">
        <v>3</v>
      </c>
    </row>
    <row r="120" spans="1:2" x14ac:dyDescent="0.25">
      <c r="A120" t="s">
        <v>469</v>
      </c>
      <c r="B120">
        <v>5</v>
      </c>
    </row>
    <row r="121" spans="1:2" x14ac:dyDescent="0.25">
      <c r="A121" t="s">
        <v>470</v>
      </c>
      <c r="B121">
        <v>5</v>
      </c>
    </row>
    <row r="122" spans="1:2" x14ac:dyDescent="0.25">
      <c r="A122" t="s">
        <v>471</v>
      </c>
      <c r="B122">
        <v>5</v>
      </c>
    </row>
    <row r="123" spans="1:2" x14ac:dyDescent="0.25">
      <c r="A123" t="s">
        <v>472</v>
      </c>
      <c r="B123">
        <v>3</v>
      </c>
    </row>
    <row r="124" spans="1:2" x14ac:dyDescent="0.25">
      <c r="A124" t="s">
        <v>473</v>
      </c>
      <c r="B124">
        <v>5</v>
      </c>
    </row>
    <row r="125" spans="1:2" x14ac:dyDescent="0.25">
      <c r="A125" t="s">
        <v>474</v>
      </c>
      <c r="B125">
        <v>3</v>
      </c>
    </row>
    <row r="126" spans="1:2" x14ac:dyDescent="0.25">
      <c r="A126" t="s">
        <v>475</v>
      </c>
      <c r="B126">
        <v>5</v>
      </c>
    </row>
    <row r="127" spans="1:2" x14ac:dyDescent="0.25">
      <c r="A127" t="s">
        <v>476</v>
      </c>
      <c r="B127">
        <v>5</v>
      </c>
    </row>
    <row r="128" spans="1:2" x14ac:dyDescent="0.25">
      <c r="A128" t="s">
        <v>477</v>
      </c>
      <c r="B128">
        <v>5</v>
      </c>
    </row>
    <row r="129" spans="1:2" x14ac:dyDescent="0.25">
      <c r="A129" t="s">
        <v>478</v>
      </c>
      <c r="B129">
        <v>3</v>
      </c>
    </row>
    <row r="130" spans="1:2" x14ac:dyDescent="0.25">
      <c r="A130" t="s">
        <v>479</v>
      </c>
      <c r="B130">
        <v>5</v>
      </c>
    </row>
    <row r="131" spans="1:2" x14ac:dyDescent="0.25">
      <c r="A131" t="s">
        <v>480</v>
      </c>
      <c r="B131">
        <v>3</v>
      </c>
    </row>
    <row r="132" spans="1:2" x14ac:dyDescent="0.25">
      <c r="A132" t="s">
        <v>481</v>
      </c>
      <c r="B132">
        <v>5</v>
      </c>
    </row>
    <row r="133" spans="1:2" x14ac:dyDescent="0.25">
      <c r="A133" t="s">
        <v>482</v>
      </c>
      <c r="B133">
        <v>5</v>
      </c>
    </row>
    <row r="134" spans="1:2" x14ac:dyDescent="0.25">
      <c r="A134" t="s">
        <v>483</v>
      </c>
      <c r="B134">
        <v>5</v>
      </c>
    </row>
    <row r="135" spans="1:2" x14ac:dyDescent="0.25">
      <c r="A135" t="s">
        <v>484</v>
      </c>
      <c r="B135">
        <v>3</v>
      </c>
    </row>
    <row r="136" spans="1:2" x14ac:dyDescent="0.25">
      <c r="A136" t="s">
        <v>485</v>
      </c>
      <c r="B136">
        <v>5</v>
      </c>
    </row>
    <row r="137" spans="1:2" x14ac:dyDescent="0.25">
      <c r="A137" t="s">
        <v>486</v>
      </c>
      <c r="B137">
        <v>5</v>
      </c>
    </row>
    <row r="138" spans="1:2" x14ac:dyDescent="0.25">
      <c r="A138" t="s">
        <v>487</v>
      </c>
      <c r="B138">
        <v>5</v>
      </c>
    </row>
    <row r="139" spans="1:2" x14ac:dyDescent="0.25">
      <c r="A139" t="s">
        <v>488</v>
      </c>
      <c r="B139">
        <v>5</v>
      </c>
    </row>
    <row r="140" spans="1:2" x14ac:dyDescent="0.25">
      <c r="A140" t="s">
        <v>489</v>
      </c>
      <c r="B140">
        <v>5</v>
      </c>
    </row>
    <row r="141" spans="1:2" x14ac:dyDescent="0.25">
      <c r="A141" t="s">
        <v>490</v>
      </c>
      <c r="B141">
        <v>5</v>
      </c>
    </row>
    <row r="142" spans="1:2" x14ac:dyDescent="0.25">
      <c r="A142" t="s">
        <v>491</v>
      </c>
      <c r="B142">
        <v>5</v>
      </c>
    </row>
    <row r="143" spans="1:2" x14ac:dyDescent="0.25">
      <c r="A143" t="s">
        <v>492</v>
      </c>
      <c r="B143">
        <v>3</v>
      </c>
    </row>
    <row r="144" spans="1:2" x14ac:dyDescent="0.25">
      <c r="A144" t="s">
        <v>493</v>
      </c>
      <c r="B144">
        <v>5</v>
      </c>
    </row>
    <row r="145" spans="1:2" x14ac:dyDescent="0.25">
      <c r="A145" t="s">
        <v>494</v>
      </c>
      <c r="B145">
        <v>5</v>
      </c>
    </row>
    <row r="146" spans="1:2" x14ac:dyDescent="0.25">
      <c r="A146" t="s">
        <v>495</v>
      </c>
      <c r="B146">
        <v>5</v>
      </c>
    </row>
    <row r="147" spans="1:2" x14ac:dyDescent="0.25">
      <c r="A147" t="s">
        <v>496</v>
      </c>
      <c r="B147">
        <v>3</v>
      </c>
    </row>
    <row r="148" spans="1:2" x14ac:dyDescent="0.25">
      <c r="A148" t="s">
        <v>497</v>
      </c>
      <c r="B148">
        <v>5</v>
      </c>
    </row>
    <row r="149" spans="1:2" x14ac:dyDescent="0.25">
      <c r="A149" t="s">
        <v>498</v>
      </c>
      <c r="B149">
        <v>3</v>
      </c>
    </row>
    <row r="150" spans="1:2" x14ac:dyDescent="0.25">
      <c r="A150" t="s">
        <v>499</v>
      </c>
      <c r="B150">
        <v>5</v>
      </c>
    </row>
    <row r="151" spans="1:2" x14ac:dyDescent="0.25">
      <c r="A151" t="s">
        <v>500</v>
      </c>
      <c r="B151">
        <v>5</v>
      </c>
    </row>
    <row r="152" spans="1:2" x14ac:dyDescent="0.25">
      <c r="A152" t="s">
        <v>501</v>
      </c>
      <c r="B152">
        <v>5</v>
      </c>
    </row>
    <row r="153" spans="1:2" x14ac:dyDescent="0.25">
      <c r="A153" t="s">
        <v>502</v>
      </c>
      <c r="B153">
        <v>3</v>
      </c>
    </row>
    <row r="154" spans="1:2" x14ac:dyDescent="0.25">
      <c r="A154" t="s">
        <v>503</v>
      </c>
      <c r="B154">
        <v>5</v>
      </c>
    </row>
    <row r="155" spans="1:2" x14ac:dyDescent="0.25">
      <c r="A155" t="s">
        <v>504</v>
      </c>
      <c r="B155">
        <v>3</v>
      </c>
    </row>
    <row r="156" spans="1:2" x14ac:dyDescent="0.25">
      <c r="A156" t="s">
        <v>505</v>
      </c>
      <c r="B156">
        <v>5</v>
      </c>
    </row>
    <row r="157" spans="1:2" x14ac:dyDescent="0.25">
      <c r="A157" t="s">
        <v>506</v>
      </c>
      <c r="B157">
        <v>5</v>
      </c>
    </row>
    <row r="158" spans="1:2" x14ac:dyDescent="0.25">
      <c r="A158" t="s">
        <v>507</v>
      </c>
      <c r="B158">
        <v>5</v>
      </c>
    </row>
    <row r="159" spans="1:2" x14ac:dyDescent="0.25">
      <c r="A159" t="s">
        <v>508</v>
      </c>
      <c r="B159">
        <v>3</v>
      </c>
    </row>
    <row r="160" spans="1:2" x14ac:dyDescent="0.25">
      <c r="A160" t="s">
        <v>509</v>
      </c>
      <c r="B160">
        <v>5</v>
      </c>
    </row>
    <row r="161" spans="1:2" x14ac:dyDescent="0.25">
      <c r="A161" t="s">
        <v>510</v>
      </c>
      <c r="B161">
        <v>6</v>
      </c>
    </row>
    <row r="162" spans="1:2" x14ac:dyDescent="0.25">
      <c r="A162" t="s">
        <v>511</v>
      </c>
      <c r="B162">
        <v>6</v>
      </c>
    </row>
    <row r="163" spans="1:2" x14ac:dyDescent="0.25">
      <c r="A163" t="s">
        <v>512</v>
      </c>
      <c r="B163">
        <v>6</v>
      </c>
    </row>
    <row r="164" spans="1:2" x14ac:dyDescent="0.25">
      <c r="A164" t="s">
        <v>513</v>
      </c>
      <c r="B164">
        <v>6</v>
      </c>
    </row>
    <row r="165" spans="1:2" x14ac:dyDescent="0.25">
      <c r="A165" t="s">
        <v>514</v>
      </c>
      <c r="B165">
        <v>6</v>
      </c>
    </row>
    <row r="166" spans="1:2" x14ac:dyDescent="0.25">
      <c r="A166" t="s">
        <v>515</v>
      </c>
      <c r="B166">
        <v>6</v>
      </c>
    </row>
    <row r="167" spans="1:2" x14ac:dyDescent="0.25">
      <c r="A167" t="s">
        <v>516</v>
      </c>
      <c r="B167">
        <v>6</v>
      </c>
    </row>
    <row r="168" spans="1:2" x14ac:dyDescent="0.25">
      <c r="A168" t="s">
        <v>517</v>
      </c>
      <c r="B168">
        <v>6</v>
      </c>
    </row>
    <row r="169" spans="1:2" x14ac:dyDescent="0.25">
      <c r="A169" t="s">
        <v>518</v>
      </c>
      <c r="B169">
        <v>6</v>
      </c>
    </row>
    <row r="170" spans="1:2" x14ac:dyDescent="0.25">
      <c r="A170" t="s">
        <v>519</v>
      </c>
      <c r="B170">
        <v>6</v>
      </c>
    </row>
    <row r="171" spans="1:2" x14ac:dyDescent="0.25">
      <c r="A171" t="s">
        <v>520</v>
      </c>
      <c r="B171">
        <v>6</v>
      </c>
    </row>
    <row r="172" spans="1:2" x14ac:dyDescent="0.25">
      <c r="A172" t="s">
        <v>521</v>
      </c>
      <c r="B172">
        <v>6</v>
      </c>
    </row>
    <row r="173" spans="1:2" x14ac:dyDescent="0.25">
      <c r="A173" t="s">
        <v>522</v>
      </c>
      <c r="B173">
        <v>6</v>
      </c>
    </row>
    <row r="174" spans="1:2" x14ac:dyDescent="0.25">
      <c r="A174" t="s">
        <v>523</v>
      </c>
      <c r="B174">
        <v>6</v>
      </c>
    </row>
    <row r="175" spans="1:2" x14ac:dyDescent="0.25">
      <c r="A175" t="s">
        <v>524</v>
      </c>
      <c r="B175">
        <v>6</v>
      </c>
    </row>
    <row r="176" spans="1:2" x14ac:dyDescent="0.25">
      <c r="A176" t="s">
        <v>525</v>
      </c>
      <c r="B176">
        <v>6</v>
      </c>
    </row>
    <row r="177" spans="1:2" x14ac:dyDescent="0.25">
      <c r="A177" t="s">
        <v>526</v>
      </c>
      <c r="B177">
        <v>6</v>
      </c>
    </row>
    <row r="178" spans="1:2" x14ac:dyDescent="0.25">
      <c r="A178" t="s">
        <v>527</v>
      </c>
      <c r="B178">
        <v>6</v>
      </c>
    </row>
    <row r="179" spans="1:2" x14ac:dyDescent="0.25">
      <c r="A179" t="s">
        <v>528</v>
      </c>
      <c r="B179">
        <v>6</v>
      </c>
    </row>
    <row r="180" spans="1:2" x14ac:dyDescent="0.25">
      <c r="A180" t="s">
        <v>529</v>
      </c>
      <c r="B180">
        <v>6</v>
      </c>
    </row>
    <row r="181" spans="1:2" x14ac:dyDescent="0.25">
      <c r="A181" t="s">
        <v>530</v>
      </c>
      <c r="B181">
        <v>6</v>
      </c>
    </row>
    <row r="182" spans="1:2" x14ac:dyDescent="0.25">
      <c r="A182" t="s">
        <v>531</v>
      </c>
      <c r="B182">
        <v>6</v>
      </c>
    </row>
    <row r="183" spans="1:2" x14ac:dyDescent="0.25">
      <c r="A183" t="s">
        <v>532</v>
      </c>
      <c r="B183">
        <v>6</v>
      </c>
    </row>
    <row r="184" spans="1:2" x14ac:dyDescent="0.25">
      <c r="A184" t="s">
        <v>533</v>
      </c>
      <c r="B184">
        <v>6</v>
      </c>
    </row>
    <row r="185" spans="1:2" x14ac:dyDescent="0.25">
      <c r="A185" t="s">
        <v>534</v>
      </c>
      <c r="B185">
        <v>6</v>
      </c>
    </row>
    <row r="186" spans="1:2" x14ac:dyDescent="0.25">
      <c r="A186" t="s">
        <v>535</v>
      </c>
      <c r="B186">
        <v>6</v>
      </c>
    </row>
    <row r="187" spans="1:2" x14ac:dyDescent="0.25">
      <c r="A187" t="s">
        <v>536</v>
      </c>
      <c r="B187">
        <v>6</v>
      </c>
    </row>
    <row r="188" spans="1:2" x14ac:dyDescent="0.25">
      <c r="A188" t="s">
        <v>537</v>
      </c>
      <c r="B188">
        <v>6</v>
      </c>
    </row>
    <row r="189" spans="1:2" x14ac:dyDescent="0.25">
      <c r="A189" t="s">
        <v>538</v>
      </c>
      <c r="B189">
        <v>6</v>
      </c>
    </row>
    <row r="190" spans="1:2" x14ac:dyDescent="0.25">
      <c r="A190" t="s">
        <v>539</v>
      </c>
      <c r="B190">
        <v>6</v>
      </c>
    </row>
    <row r="191" spans="1:2" x14ac:dyDescent="0.25">
      <c r="A191" t="s">
        <v>540</v>
      </c>
      <c r="B191">
        <v>6</v>
      </c>
    </row>
    <row r="192" spans="1:2" x14ac:dyDescent="0.25">
      <c r="A192" t="s">
        <v>541</v>
      </c>
      <c r="B192">
        <v>6</v>
      </c>
    </row>
    <row r="193" spans="1:2" x14ac:dyDescent="0.25">
      <c r="A193" t="s">
        <v>542</v>
      </c>
      <c r="B193">
        <v>6</v>
      </c>
    </row>
    <row r="194" spans="1:2" x14ac:dyDescent="0.25">
      <c r="A194" t="s">
        <v>543</v>
      </c>
      <c r="B194">
        <v>6</v>
      </c>
    </row>
    <row r="195" spans="1:2" x14ac:dyDescent="0.25">
      <c r="A195" t="s">
        <v>544</v>
      </c>
      <c r="B195">
        <v>6</v>
      </c>
    </row>
    <row r="196" spans="1:2" x14ac:dyDescent="0.25">
      <c r="A196" t="s">
        <v>545</v>
      </c>
      <c r="B196">
        <v>6</v>
      </c>
    </row>
    <row r="197" spans="1:2" x14ac:dyDescent="0.25">
      <c r="A197" t="s">
        <v>546</v>
      </c>
      <c r="B197">
        <v>6</v>
      </c>
    </row>
    <row r="198" spans="1:2" x14ac:dyDescent="0.25">
      <c r="A198" t="s">
        <v>547</v>
      </c>
      <c r="B198">
        <v>6</v>
      </c>
    </row>
    <row r="199" spans="1:2" x14ac:dyDescent="0.25">
      <c r="A199" t="s">
        <v>548</v>
      </c>
      <c r="B199">
        <v>6</v>
      </c>
    </row>
    <row r="200" spans="1:2" x14ac:dyDescent="0.25">
      <c r="A200" t="s">
        <v>549</v>
      </c>
      <c r="B200">
        <v>6</v>
      </c>
    </row>
    <row r="201" spans="1:2" x14ac:dyDescent="0.25">
      <c r="A201" t="s">
        <v>550</v>
      </c>
      <c r="B201">
        <v>4</v>
      </c>
    </row>
    <row r="202" spans="1:2" x14ac:dyDescent="0.25">
      <c r="A202" t="s">
        <v>551</v>
      </c>
      <c r="B202">
        <v>4</v>
      </c>
    </row>
    <row r="203" spans="1:2" x14ac:dyDescent="0.25">
      <c r="A203" t="s">
        <v>552</v>
      </c>
      <c r="B203" t="s">
        <v>600</v>
      </c>
    </row>
    <row r="204" spans="1:2" x14ac:dyDescent="0.25">
      <c r="A204" t="s">
        <v>553</v>
      </c>
      <c r="B204" t="s">
        <v>600</v>
      </c>
    </row>
    <row r="205" spans="1:2" x14ac:dyDescent="0.25">
      <c r="A205" t="s">
        <v>554</v>
      </c>
      <c r="B205">
        <v>4</v>
      </c>
    </row>
    <row r="206" spans="1:2" x14ac:dyDescent="0.25">
      <c r="A206" t="s">
        <v>555</v>
      </c>
      <c r="B206">
        <v>4</v>
      </c>
    </row>
    <row r="207" spans="1:2" x14ac:dyDescent="0.25">
      <c r="A207" t="s">
        <v>556</v>
      </c>
      <c r="B207">
        <v>3</v>
      </c>
    </row>
    <row r="208" spans="1:2" x14ac:dyDescent="0.25">
      <c r="A208" t="s">
        <v>557</v>
      </c>
      <c r="B208">
        <v>3</v>
      </c>
    </row>
    <row r="209" spans="1:2" x14ac:dyDescent="0.25">
      <c r="A209" t="s">
        <v>558</v>
      </c>
      <c r="B209">
        <v>4</v>
      </c>
    </row>
    <row r="210" spans="1:2" x14ac:dyDescent="0.25">
      <c r="A210" t="s">
        <v>559</v>
      </c>
      <c r="B210">
        <v>4</v>
      </c>
    </row>
    <row r="211" spans="1:2" x14ac:dyDescent="0.25">
      <c r="A211" t="s">
        <v>560</v>
      </c>
      <c r="B211">
        <v>3</v>
      </c>
    </row>
    <row r="212" spans="1:2" x14ac:dyDescent="0.25">
      <c r="A212" t="s">
        <v>561</v>
      </c>
      <c r="B212">
        <v>3</v>
      </c>
    </row>
    <row r="213" spans="1:2" x14ac:dyDescent="0.25">
      <c r="A213" t="s">
        <v>562</v>
      </c>
      <c r="B213">
        <v>4</v>
      </c>
    </row>
    <row r="214" spans="1:2" x14ac:dyDescent="0.25">
      <c r="A214" t="s">
        <v>563</v>
      </c>
      <c r="B214">
        <v>4</v>
      </c>
    </row>
    <row r="215" spans="1:2" x14ac:dyDescent="0.25">
      <c r="A215" t="s">
        <v>564</v>
      </c>
      <c r="B215" t="s">
        <v>600</v>
      </c>
    </row>
    <row r="216" spans="1:2" x14ac:dyDescent="0.25">
      <c r="A216" t="s">
        <v>565</v>
      </c>
      <c r="B216" t="s">
        <v>600</v>
      </c>
    </row>
    <row r="217" spans="1:2" x14ac:dyDescent="0.25">
      <c r="A217" t="s">
        <v>566</v>
      </c>
      <c r="B217">
        <v>4</v>
      </c>
    </row>
    <row r="218" spans="1:2" x14ac:dyDescent="0.25">
      <c r="A218" t="s">
        <v>567</v>
      </c>
      <c r="B218">
        <v>4</v>
      </c>
    </row>
    <row r="219" spans="1:2" x14ac:dyDescent="0.25">
      <c r="A219" t="s">
        <v>568</v>
      </c>
      <c r="B219">
        <v>4</v>
      </c>
    </row>
    <row r="220" spans="1:2" x14ac:dyDescent="0.25">
      <c r="A220" t="s">
        <v>569</v>
      </c>
      <c r="B220">
        <v>4</v>
      </c>
    </row>
    <row r="221" spans="1:2" x14ac:dyDescent="0.25">
      <c r="A221" t="s">
        <v>570</v>
      </c>
      <c r="B221">
        <v>4</v>
      </c>
    </row>
    <row r="222" spans="1:2" x14ac:dyDescent="0.25">
      <c r="A222" t="s">
        <v>571</v>
      </c>
      <c r="B222">
        <v>4</v>
      </c>
    </row>
    <row r="223" spans="1:2" x14ac:dyDescent="0.25">
      <c r="A223" t="s">
        <v>572</v>
      </c>
      <c r="B223">
        <v>4</v>
      </c>
    </row>
    <row r="224" spans="1:2" x14ac:dyDescent="0.25">
      <c r="A224" t="s">
        <v>573</v>
      </c>
      <c r="B224">
        <v>4</v>
      </c>
    </row>
    <row r="225" spans="1:2" x14ac:dyDescent="0.25">
      <c r="A225" t="s">
        <v>574</v>
      </c>
      <c r="B225">
        <v>4</v>
      </c>
    </row>
    <row r="226" spans="1:2" x14ac:dyDescent="0.25">
      <c r="A226" t="s">
        <v>575</v>
      </c>
      <c r="B226">
        <v>3</v>
      </c>
    </row>
    <row r="227" spans="1:2" x14ac:dyDescent="0.25">
      <c r="A227" t="s">
        <v>576</v>
      </c>
      <c r="B227">
        <v>3</v>
      </c>
    </row>
    <row r="228" spans="1:2" x14ac:dyDescent="0.25">
      <c r="A228" t="s">
        <v>577</v>
      </c>
      <c r="B228">
        <v>3</v>
      </c>
    </row>
    <row r="229" spans="1:2" x14ac:dyDescent="0.25">
      <c r="A229" t="s">
        <v>578</v>
      </c>
      <c r="B229">
        <v>4</v>
      </c>
    </row>
    <row r="230" spans="1:2" x14ac:dyDescent="0.25">
      <c r="A230" t="s">
        <v>579</v>
      </c>
      <c r="B230">
        <v>4</v>
      </c>
    </row>
    <row r="231" spans="1:2" x14ac:dyDescent="0.25">
      <c r="A231" t="s">
        <v>580</v>
      </c>
      <c r="B231">
        <v>3</v>
      </c>
    </row>
    <row r="232" spans="1:2" x14ac:dyDescent="0.25">
      <c r="A232" t="s">
        <v>581</v>
      </c>
      <c r="B232">
        <v>3</v>
      </c>
    </row>
    <row r="233" spans="1:2" x14ac:dyDescent="0.25">
      <c r="A233" t="s">
        <v>582</v>
      </c>
      <c r="B233">
        <v>4</v>
      </c>
    </row>
    <row r="234" spans="1:2" x14ac:dyDescent="0.25">
      <c r="A234" t="s">
        <v>583</v>
      </c>
      <c r="B234">
        <v>4</v>
      </c>
    </row>
    <row r="235" spans="1:2" x14ac:dyDescent="0.25">
      <c r="A235" t="s">
        <v>584</v>
      </c>
      <c r="B235">
        <v>3</v>
      </c>
    </row>
    <row r="236" spans="1:2" x14ac:dyDescent="0.25">
      <c r="A236" t="s">
        <v>585</v>
      </c>
      <c r="B236">
        <v>3</v>
      </c>
    </row>
    <row r="237" spans="1:2" x14ac:dyDescent="0.25">
      <c r="A237" t="s">
        <v>586</v>
      </c>
      <c r="B237">
        <v>4</v>
      </c>
    </row>
    <row r="238" spans="1:2" x14ac:dyDescent="0.25">
      <c r="A238" t="s">
        <v>587</v>
      </c>
      <c r="B238">
        <v>4</v>
      </c>
    </row>
    <row r="239" spans="1:2" x14ac:dyDescent="0.25">
      <c r="A239" t="s">
        <v>588</v>
      </c>
      <c r="B239">
        <v>3</v>
      </c>
    </row>
    <row r="240" spans="1:2" x14ac:dyDescent="0.25">
      <c r="A240" t="s">
        <v>589</v>
      </c>
      <c r="B240">
        <v>3</v>
      </c>
    </row>
    <row r="241" spans="1:2" x14ac:dyDescent="0.25">
      <c r="A241" t="s">
        <v>590</v>
      </c>
      <c r="B241">
        <v>4</v>
      </c>
    </row>
    <row r="242" spans="1:2" x14ac:dyDescent="0.25">
      <c r="A242" t="s">
        <v>591</v>
      </c>
      <c r="B242">
        <v>4</v>
      </c>
    </row>
    <row r="243" spans="1:2" x14ac:dyDescent="0.25">
      <c r="A243" t="s">
        <v>592</v>
      </c>
      <c r="B243">
        <v>4</v>
      </c>
    </row>
    <row r="244" spans="1:2" x14ac:dyDescent="0.25">
      <c r="A244" t="s">
        <v>593</v>
      </c>
      <c r="B244">
        <v>4</v>
      </c>
    </row>
    <row r="245" spans="1:2" x14ac:dyDescent="0.25">
      <c r="A245" t="s">
        <v>594</v>
      </c>
      <c r="B245">
        <v>4</v>
      </c>
    </row>
    <row r="246" spans="1:2" x14ac:dyDescent="0.25">
      <c r="A246" t="s">
        <v>595</v>
      </c>
      <c r="B246">
        <v>4</v>
      </c>
    </row>
    <row r="247" spans="1:2" x14ac:dyDescent="0.25">
      <c r="A247" t="s">
        <v>596</v>
      </c>
      <c r="B247">
        <v>4</v>
      </c>
    </row>
    <row r="248" spans="1:2" x14ac:dyDescent="0.25">
      <c r="A248" t="s">
        <v>597</v>
      </c>
      <c r="B248">
        <v>4</v>
      </c>
    </row>
    <row r="249" spans="1:2" x14ac:dyDescent="0.25">
      <c r="A249" t="s">
        <v>188</v>
      </c>
      <c r="B249" t="s">
        <v>599</v>
      </c>
    </row>
    <row r="250" spans="1:2" x14ac:dyDescent="0.25">
      <c r="A250" t="s">
        <v>187</v>
      </c>
      <c r="B250" t="s">
        <v>599</v>
      </c>
    </row>
    <row r="251" spans="1:2" x14ac:dyDescent="0.25">
      <c r="A251" t="s">
        <v>186</v>
      </c>
      <c r="B251" t="s">
        <v>599</v>
      </c>
    </row>
    <row r="252" spans="1:2" x14ac:dyDescent="0.25">
      <c r="A252" t="s">
        <v>185</v>
      </c>
      <c r="B252" t="s">
        <v>599</v>
      </c>
    </row>
    <row r="253" spans="1:2" x14ac:dyDescent="0.25">
      <c r="A253" s="5" t="s">
        <v>183</v>
      </c>
      <c r="B253" t="s">
        <v>599</v>
      </c>
    </row>
    <row r="254" spans="1:2" x14ac:dyDescent="0.25">
      <c r="A254" t="s">
        <v>184</v>
      </c>
      <c r="B254" t="s">
        <v>599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9c14434-8299-45db-9550-ee036f24122d">
      <Terms xmlns="http://schemas.microsoft.com/office/infopath/2007/PartnerControls"/>
    </lcf76f155ced4ddcb4097134ff3c332f>
    <TaxCatchAll xmlns="6b4f1b36-0d49-4ab6-a924-6ebfaf85e9e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57DB0FF238C641A57B9473E2091B03" ma:contentTypeVersion="10" ma:contentTypeDescription="Create a new document." ma:contentTypeScope="" ma:versionID="378ffedc985ae72820d99751a21ca16c">
  <xsd:schema xmlns:xsd="http://www.w3.org/2001/XMLSchema" xmlns:xs="http://www.w3.org/2001/XMLSchema" xmlns:p="http://schemas.microsoft.com/office/2006/metadata/properties" xmlns:ns2="59c14434-8299-45db-9550-ee036f24122d" xmlns:ns3="6b4f1b36-0d49-4ab6-a924-6ebfaf85e9e3" targetNamespace="http://schemas.microsoft.com/office/2006/metadata/properties" ma:root="true" ma:fieldsID="eca38c72d571fe07d3bd951a802aea72" ns2:_="" ns3:_="">
    <xsd:import namespace="59c14434-8299-45db-9550-ee036f24122d"/>
    <xsd:import namespace="6b4f1b36-0d49-4ab6-a924-6ebfaf85e9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c14434-8299-45db-9550-ee036f2412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5869760-63e5-4ad7-8e1d-ce12b2e8d0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4f1b36-0d49-4ab6-a924-6ebfaf85e9e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a351a56-7df6-4120-a408-19db97700823}" ma:internalName="TaxCatchAll" ma:showField="CatchAllData" ma:web="6b4f1b36-0d49-4ab6-a924-6ebfaf85e9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5E03A4-32DF-4A6F-B7E2-49AA734ACD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912846-FB38-466F-95E6-77E08EAE77B4}">
  <ds:schemaRefs>
    <ds:schemaRef ds:uri="http://purl.org/dc/terms/"/>
    <ds:schemaRef ds:uri="59c14434-8299-45db-9550-ee036f24122d"/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6b4f1b36-0d49-4ab6-a924-6ebfaf85e9e3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B4F565B-4CB3-4246-9213-53286C6A33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c14434-8299-45db-9550-ee036f24122d"/>
    <ds:schemaRef ds:uri="6b4f1b36-0d49-4ab6-a924-6ebfaf85e9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AllPerformanceMeasures</vt:lpstr>
      <vt:lpstr>Priorities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Vivek Yadav</cp:lastModifiedBy>
  <cp:revision/>
  <dcterms:created xsi:type="dcterms:W3CDTF">2025-04-14T03:46:21Z</dcterms:created>
  <dcterms:modified xsi:type="dcterms:W3CDTF">2025-06-01T04:41:09Z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0x010100FB57DB0FF238C641A57B9473E2091B03</vt:lpwstr>
  </property>
  <property fmtid="{D5CDD505-2E9C-101B-9397-08002B2CF9AE}" pid="3" name="MediaServiceImageTags">
    <vt:lpwstr/>
  </property>
</Properties>
</file>