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sp/Documents/GitHub/client_pag_exploratory/data/processed/"/>
    </mc:Choice>
  </mc:AlternateContent>
  <xr:revisionPtr revIDLastSave="0" documentId="13_ncr:1_{055E4BEF-D776-E44E-8BE4-F6807A57871A}" xr6:coauthVersionLast="47" xr6:coauthVersionMax="47" xr10:uidLastSave="{00000000-0000-0000-0000-000000000000}"/>
  <bookViews>
    <workbookView xWindow="500" yWindow="1140" windowWidth="27060" windowHeight="25640" activeTab="2" xr2:uid="{D6C2D426-401B-9F41-B936-EFC0C6EE1E7B}"/>
  </bookViews>
  <sheets>
    <sheet name="paste-csv-here" sheetId="1" r:id="rId1"/>
    <sheet name="coeff_names" sheetId="2" r:id="rId2"/>
    <sheet name="model-01" sheetId="3" r:id="rId3"/>
  </sheets>
  <definedNames>
    <definedName name="sigfigs">'model-01'!$A$23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3" l="1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F5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C6" i="3"/>
  <c r="D5" i="3"/>
  <c r="E5" i="3" s="1"/>
  <c r="D20" i="3"/>
  <c r="E20" i="3" s="1"/>
  <c r="D19" i="3"/>
  <c r="E19" i="3" s="1"/>
  <c r="D18" i="3"/>
  <c r="E18" i="3" s="1"/>
  <c r="D17" i="3"/>
  <c r="E17" i="3" s="1"/>
  <c r="D16" i="3"/>
  <c r="E16" i="3" s="1"/>
  <c r="D15" i="3"/>
  <c r="E15" i="3" s="1"/>
  <c r="D14" i="3"/>
  <c r="E14" i="3" s="1"/>
  <c r="D13" i="3"/>
  <c r="E13" i="3" s="1"/>
  <c r="D12" i="3"/>
  <c r="E12" i="3" s="1"/>
  <c r="D11" i="3"/>
  <c r="E11" i="3" s="1"/>
  <c r="D10" i="3"/>
  <c r="E10" i="3" s="1"/>
  <c r="D9" i="3"/>
  <c r="E9" i="3" s="1"/>
  <c r="D8" i="3"/>
  <c r="E8" i="3" s="1"/>
  <c r="D7" i="3"/>
  <c r="E7" i="3" s="1"/>
  <c r="D6" i="3"/>
  <c r="E6" i="3" s="1"/>
  <c r="C2" i="3"/>
  <c r="C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</calcChain>
</file>

<file path=xl/sharedStrings.xml><?xml version="1.0" encoding="utf-8"?>
<sst xmlns="http://schemas.openxmlformats.org/spreadsheetml/2006/main" count="1058" uniqueCount="78">
  <si>
    <t>coeff_name</t>
  </si>
  <si>
    <t>model_name</t>
  </si>
  <si>
    <t>Auto Mode Share</t>
  </si>
  <si>
    <t>Bike Mode Share</t>
  </si>
  <si>
    <t>Transit Mode Share</t>
  </si>
  <si>
    <t>Walk Mode Share</t>
  </si>
  <si>
    <t>Transit PMT</t>
  </si>
  <si>
    <t>Regional VMT</t>
  </si>
  <si>
    <t>Regional VMT per Capita</t>
  </si>
  <si>
    <t>Regional VHT</t>
  </si>
  <si>
    <t>Average Commute Time by Auto</t>
  </si>
  <si>
    <t>Average Commute Time by Transit</t>
  </si>
  <si>
    <t>Average Transit Travel Time</t>
  </si>
  <si>
    <t>Percentage of Population within Quarter Mile</t>
  </si>
  <si>
    <t>Percentage of Jobs within Quarter Mile</t>
  </si>
  <si>
    <t>AM Travel Time Index</t>
  </si>
  <si>
    <t>PM Travel Time Index</t>
  </si>
  <si>
    <t>Regional Speed</t>
  </si>
  <si>
    <t>Auto Accessibility Peak</t>
  </si>
  <si>
    <t>Auto Accessibility Peak within 30 Minutes</t>
  </si>
  <si>
    <t>Transit Accessibility Peak</t>
  </si>
  <si>
    <t>Transit Accessibility Off Peak within 45 Minutes</t>
  </si>
  <si>
    <t>Disadvantage Zone Auto Accessibility Peak for Jobs 0</t>
  </si>
  <si>
    <t>Disadvantage Zone Auto Accessibility Peak for Jobs 1</t>
  </si>
  <si>
    <t>Disadvantage Zone Transit Accessibility Peak within 45 Minutes for Jobs 0</t>
  </si>
  <si>
    <t>Disadvantage Zone Transit Accessibility Peak within 45 Minutes for Jobs 1</t>
  </si>
  <si>
    <t>intercept</t>
  </si>
  <si>
    <t>label</t>
  </si>
  <si>
    <t>Automated vehicle adoption rate</t>
  </si>
  <si>
    <t>Electric vehicle adoption rate</t>
  </si>
  <si>
    <t>E-commerce level</t>
  </si>
  <si>
    <t>Household and employment distribution</t>
  </si>
  <si>
    <t>Household and employment growth</t>
  </si>
  <si>
    <t>Heavy and medium truck travel</t>
  </si>
  <si>
    <t>Incentives for special populations</t>
  </si>
  <si>
    <t>Road user fee</t>
  </si>
  <si>
    <t>Teleworking</t>
  </si>
  <si>
    <t>Transit headways</t>
  </si>
  <si>
    <t>model</t>
  </si>
  <si>
    <t>Coefficient</t>
  </si>
  <si>
    <t>Variable</t>
  </si>
  <si>
    <t>t-statistic</t>
  </si>
  <si>
    <t>Intercept</t>
  </si>
  <si>
    <t>r-squared</t>
  </si>
  <si>
    <t>model_id</t>
  </si>
  <si>
    <t>variable_name</t>
  </si>
  <si>
    <t>StdError</t>
  </si>
  <si>
    <t>t-Statistic</t>
  </si>
  <si>
    <t>p</t>
  </si>
  <si>
    <t>AV_Rates</t>
  </si>
  <si>
    <t>EV_Rates</t>
  </si>
  <si>
    <t>Ecommerce</t>
  </si>
  <si>
    <t>HH_EMP_Distribution</t>
  </si>
  <si>
    <t>HH_EMP_Growth</t>
  </si>
  <si>
    <t>Heavy_Medium_Truck_Travel</t>
  </si>
  <si>
    <t>Incentives_Special_AreaPop</t>
  </si>
  <si>
    <t>Road_User_Fee</t>
  </si>
  <si>
    <t>Roadway_Capacity_Improvement==All</t>
  </si>
  <si>
    <t>Roadway_Capacity_Improvement==High</t>
  </si>
  <si>
    <t>Roadway_Capacity_Improvement==High and Medium</t>
  </si>
  <si>
    <t>Transit_Headways</t>
  </si>
  <si>
    <t>Transit_Service_Expansion==Expansion</t>
  </si>
  <si>
    <t>Transit_Service_Expansion==No-Expansion</t>
  </si>
  <si>
    <t>_Intercept_</t>
  </si>
  <si>
    <t>Roadway capacity improvements -- specific to "All"</t>
  </si>
  <si>
    <t>Roadway capacity improvements -- specific to "High"</t>
  </si>
  <si>
    <t>Roadway capacity improvements -- specific to "High" and "Medium"</t>
  </si>
  <si>
    <t>Transit service expansion -- specific to "Yes"</t>
  </si>
  <si>
    <t>Transit service expansion -- specific to "No"</t>
  </si>
  <si>
    <t>p value</t>
  </si>
  <si>
    <t>Transit_Service_Expansion==No Expansion</t>
  </si>
  <si>
    <t>Carbon Monoxide (CO) Emissions</t>
  </si>
  <si>
    <t>Greenhouse Gas Emissions (CO2) Equivalent</t>
  </si>
  <si>
    <t>Nitrous Oxide (NOx) Emissions</t>
  </si>
  <si>
    <t>Particulate Matter 10 Micrometers or Smaller Emissions (PM10)</t>
  </si>
  <si>
    <t>Particulate Matter 2.5 Micrometers or Smaller Emissions (PM2.5)</t>
  </si>
  <si>
    <t>Regional VHT per Capita</t>
  </si>
  <si>
    <t>Volatile Organic Compounds (VOC) 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</si>
</sst>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2">
    <xf numFmtId="0" fontId="0" fillId="0" borderId="0" xfId="0"/>
    <xf numFmtId="11" fontId="0" fillId="0" borderId="0" xfId="0" applyNumberFormat="1"/>
    <xf numFmtId="0" fontId="0" fillId="33" borderId="0" xfId="0" applyFill="1"/>
    <xf numFmtId="0" fontId="18" fillId="0" borderId="0" xfId="0" applyFont="1"/>
    <xf numFmtId="0" fontId="0" fillId="0" borderId="0" xfId="0" quotePrefix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0" fillId="34" borderId="0" xfId="0" applyFill="1"/>
    <xf numFmtId="3" fontId="0" fillId="0" borderId="0" xfId="42" applyNumberFormat="1" applyFont="1" applyAlignment="1">
      <alignment horizontal="right"/>
    </xf>
    <xf numFmtId="3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047DE-0000-DB40-9CEF-427FE540FA75}">
  <dimension ref="A1:J497"/>
  <sheetViews>
    <sheetView topLeftCell="A117" workbookViewId="0">
      <selection activeCell="C418" sqref="C418"/>
    </sheetView>
  </sheetViews>
  <sheetFormatPr baseColWidth="10" defaultRowHeight="16" x14ac:dyDescent="0.2"/>
  <cols>
    <col min="1" max="1" width="10.83203125" style="2"/>
    <col min="2" max="2" width="19.33203125" customWidth="1"/>
    <col min="3" max="4" width="29.1640625" customWidth="1"/>
    <col min="5" max="5" width="44" customWidth="1"/>
    <col min="6" max="9" width="29.1640625" customWidth="1"/>
    <col min="10" max="10" width="10.83203125" style="2"/>
  </cols>
  <sheetData>
    <row r="1" spans="2:9" x14ac:dyDescent="0.2">
      <c r="B1" t="s">
        <v>44</v>
      </c>
      <c r="C1" t="s">
        <v>1</v>
      </c>
      <c r="D1" t="s">
        <v>43</v>
      </c>
      <c r="E1" t="s">
        <v>45</v>
      </c>
      <c r="F1" t="s">
        <v>39</v>
      </c>
      <c r="G1" t="s">
        <v>46</v>
      </c>
      <c r="H1" t="s">
        <v>47</v>
      </c>
      <c r="I1" t="s">
        <v>48</v>
      </c>
    </row>
    <row r="2" spans="2:9" x14ac:dyDescent="0.2">
      <c r="B2">
        <v>1</v>
      </c>
      <c r="C2" t="s">
        <v>15</v>
      </c>
      <c r="D2">
        <v>0.87687900200000002</v>
      </c>
      <c r="E2" t="s">
        <v>49</v>
      </c>
      <c r="F2">
        <v>-0.242535205</v>
      </c>
      <c r="G2">
        <v>1.0686421E-2</v>
      </c>
      <c r="H2">
        <v>-22.695643359999998</v>
      </c>
      <c r="I2">
        <v>0</v>
      </c>
    </row>
    <row r="3" spans="2:9" x14ac:dyDescent="0.2">
      <c r="B3">
        <v>1</v>
      </c>
      <c r="C3" t="s">
        <v>15</v>
      </c>
      <c r="D3">
        <v>0.87687900200000002</v>
      </c>
      <c r="E3" t="s">
        <v>50</v>
      </c>
      <c r="F3">
        <v>3.4418624000000002E-2</v>
      </c>
      <c r="G3">
        <v>1.1100619000000001E-2</v>
      </c>
      <c r="H3">
        <v>3.1006038970000001</v>
      </c>
      <c r="I3">
        <v>2.4798569999999998E-3</v>
      </c>
    </row>
    <row r="4" spans="2:9" x14ac:dyDescent="0.2">
      <c r="B4">
        <v>1</v>
      </c>
      <c r="C4" t="s">
        <v>15</v>
      </c>
      <c r="D4">
        <v>0.87687900200000002</v>
      </c>
      <c r="E4" t="s">
        <v>51</v>
      </c>
      <c r="F4">
        <v>0.15415131600000001</v>
      </c>
      <c r="G4">
        <v>5.4143528000000003E-2</v>
      </c>
      <c r="H4">
        <v>2.8470866510000001</v>
      </c>
      <c r="I4">
        <v>5.3080480000000001E-3</v>
      </c>
    </row>
    <row r="5" spans="2:9" x14ac:dyDescent="0.2">
      <c r="B5">
        <v>1</v>
      </c>
      <c r="C5" t="s">
        <v>15</v>
      </c>
      <c r="D5">
        <v>0.87687900200000002</v>
      </c>
      <c r="E5" t="s">
        <v>52</v>
      </c>
      <c r="F5">
        <v>7.7043090000000003E-3</v>
      </c>
      <c r="G5">
        <v>1.0716774E-2</v>
      </c>
      <c r="H5">
        <v>0.71890189699999996</v>
      </c>
      <c r="I5">
        <v>0.47379821799999999</v>
      </c>
    </row>
    <row r="6" spans="2:9" x14ac:dyDescent="0.2">
      <c r="B6">
        <v>1</v>
      </c>
      <c r="C6" t="s">
        <v>15</v>
      </c>
      <c r="D6">
        <v>0.87687900200000002</v>
      </c>
      <c r="E6" t="s">
        <v>53</v>
      </c>
      <c r="F6">
        <v>0.107443867</v>
      </c>
      <c r="G6">
        <v>1.0876393E-2</v>
      </c>
      <c r="H6">
        <v>9.8786300219999994</v>
      </c>
      <c r="I6">
        <v>0</v>
      </c>
    </row>
    <row r="7" spans="2:9" x14ac:dyDescent="0.2">
      <c r="B7">
        <v>1</v>
      </c>
      <c r="C7" s="1" t="s">
        <v>15</v>
      </c>
      <c r="D7">
        <v>0.87687900200000002</v>
      </c>
      <c r="E7" t="s">
        <v>54</v>
      </c>
      <c r="F7">
        <v>1.7979835999999999E-2</v>
      </c>
      <c r="G7">
        <v>1.0747985E-2</v>
      </c>
      <c r="H7">
        <v>1.6728564610000001</v>
      </c>
      <c r="I7">
        <v>9.7332610999999999E-2</v>
      </c>
    </row>
    <row r="8" spans="2:9" x14ac:dyDescent="0.2">
      <c r="B8">
        <v>1</v>
      </c>
      <c r="C8" t="s">
        <v>15</v>
      </c>
      <c r="D8">
        <v>0.87687900200000002</v>
      </c>
      <c r="E8" t="s">
        <v>55</v>
      </c>
      <c r="F8">
        <v>1.6637889999999999E-3</v>
      </c>
      <c r="G8">
        <v>2.1542037E-2</v>
      </c>
      <c r="H8">
        <v>7.7234543000000003E-2</v>
      </c>
      <c r="I8">
        <v>0.938583944</v>
      </c>
    </row>
    <row r="9" spans="2:9" x14ac:dyDescent="0.2">
      <c r="B9">
        <v>1</v>
      </c>
      <c r="C9" t="s">
        <v>15</v>
      </c>
      <c r="D9">
        <v>0.87687900200000002</v>
      </c>
      <c r="E9" t="s">
        <v>56</v>
      </c>
      <c r="F9">
        <v>-0.239694408</v>
      </c>
      <c r="G9">
        <v>0.108600135</v>
      </c>
      <c r="H9">
        <v>-2.207128092</v>
      </c>
      <c r="I9">
        <v>2.9481856000000001E-2</v>
      </c>
    </row>
    <row r="10" spans="2:9" x14ac:dyDescent="0.2">
      <c r="B10">
        <v>1</v>
      </c>
      <c r="C10" t="s">
        <v>15</v>
      </c>
      <c r="D10">
        <v>0.87687900200000002</v>
      </c>
      <c r="E10" t="s">
        <v>57</v>
      </c>
      <c r="F10">
        <v>-7.1338570000000004E-3</v>
      </c>
    </row>
    <row r="11" spans="2:9" x14ac:dyDescent="0.2">
      <c r="B11">
        <v>1</v>
      </c>
      <c r="C11" t="s">
        <v>15</v>
      </c>
      <c r="D11">
        <v>0.87687900200000002</v>
      </c>
      <c r="E11" t="s">
        <v>58</v>
      </c>
      <c r="F11">
        <v>1.3379736E-2</v>
      </c>
    </row>
    <row r="12" spans="2:9" x14ac:dyDescent="0.2">
      <c r="B12">
        <v>1</v>
      </c>
      <c r="C12" t="s">
        <v>15</v>
      </c>
      <c r="D12">
        <v>0.87687900200000002</v>
      </c>
      <c r="E12" t="s">
        <v>59</v>
      </c>
      <c r="F12">
        <v>-6.2458790000000002E-3</v>
      </c>
    </row>
    <row r="13" spans="2:9" x14ac:dyDescent="0.2">
      <c r="B13">
        <v>1</v>
      </c>
      <c r="C13" t="s">
        <v>15</v>
      </c>
      <c r="D13">
        <v>0.87687900200000002</v>
      </c>
      <c r="E13" t="s">
        <v>36</v>
      </c>
      <c r="F13">
        <v>-0.13537961200000001</v>
      </c>
      <c r="G13">
        <v>3.4783724000000002E-2</v>
      </c>
      <c r="H13">
        <v>-3.8920390359999999</v>
      </c>
      <c r="I13">
        <v>1.7484999999999999E-4</v>
      </c>
    </row>
    <row r="14" spans="2:9" x14ac:dyDescent="0.2">
      <c r="B14">
        <v>1</v>
      </c>
      <c r="C14" t="s">
        <v>15</v>
      </c>
      <c r="D14">
        <v>0.87687900200000002</v>
      </c>
      <c r="E14" t="s">
        <v>60</v>
      </c>
      <c r="F14">
        <v>-7.6861550000000001E-3</v>
      </c>
      <c r="G14">
        <v>7.1294749999999997E-3</v>
      </c>
      <c r="H14">
        <v>-1.0780813899999999</v>
      </c>
      <c r="I14">
        <v>0.28346793999999997</v>
      </c>
    </row>
    <row r="15" spans="2:9" x14ac:dyDescent="0.2">
      <c r="B15">
        <v>1</v>
      </c>
      <c r="C15" t="s">
        <v>15</v>
      </c>
      <c r="D15">
        <v>0.87687900200000002</v>
      </c>
      <c r="E15" t="s">
        <v>61</v>
      </c>
      <c r="F15">
        <v>5.79366E-4</v>
      </c>
      <c r="G15">
        <v>189968.98240000001</v>
      </c>
      <c r="H15" s="1">
        <v>3.05E-9</v>
      </c>
      <c r="I15">
        <v>0.99999999799999995</v>
      </c>
    </row>
    <row r="16" spans="2:9" x14ac:dyDescent="0.2">
      <c r="B16">
        <v>1</v>
      </c>
      <c r="C16" t="s">
        <v>15</v>
      </c>
      <c r="D16">
        <v>0.87687900200000002</v>
      </c>
      <c r="E16" t="s">
        <v>70</v>
      </c>
      <c r="F16">
        <v>-5.79366E-4</v>
      </c>
      <c r="G16">
        <v>189968.98240000001</v>
      </c>
      <c r="H16" s="1">
        <v>-3.05E-9</v>
      </c>
      <c r="I16">
        <v>0.99999999799999995</v>
      </c>
    </row>
    <row r="17" spans="2:9" x14ac:dyDescent="0.2">
      <c r="B17">
        <v>1</v>
      </c>
      <c r="C17" t="s">
        <v>15</v>
      </c>
      <c r="D17">
        <v>0.87687900200000002</v>
      </c>
      <c r="E17" t="s">
        <v>63</v>
      </c>
      <c r="F17">
        <v>1.463802058</v>
      </c>
    </row>
    <row r="18" spans="2:9" x14ac:dyDescent="0.2">
      <c r="B18">
        <v>2</v>
      </c>
      <c r="C18" t="s">
        <v>18</v>
      </c>
      <c r="D18">
        <v>0.82614830100000003</v>
      </c>
      <c r="E18" t="s">
        <v>49</v>
      </c>
      <c r="F18">
        <v>20661.64387</v>
      </c>
      <c r="G18">
        <v>1036.637387</v>
      </c>
      <c r="H18">
        <v>19.931409120000001</v>
      </c>
      <c r="I18">
        <v>0</v>
      </c>
    </row>
    <row r="19" spans="2:9" x14ac:dyDescent="0.2">
      <c r="B19">
        <v>2</v>
      </c>
      <c r="C19" t="s">
        <v>18</v>
      </c>
      <c r="D19">
        <v>0.82614830100000003</v>
      </c>
      <c r="E19" t="s">
        <v>50</v>
      </c>
      <c r="F19">
        <v>-3437.153476</v>
      </c>
      <c r="G19">
        <v>1076.816714</v>
      </c>
      <c r="H19">
        <v>-3.191957768</v>
      </c>
      <c r="I19">
        <v>1.864618E-3</v>
      </c>
    </row>
    <row r="20" spans="2:9" x14ac:dyDescent="0.2">
      <c r="B20">
        <v>2</v>
      </c>
      <c r="C20" t="s">
        <v>18</v>
      </c>
      <c r="D20">
        <v>0.82614830100000003</v>
      </c>
      <c r="E20" t="s">
        <v>51</v>
      </c>
      <c r="F20">
        <v>-14313.05661</v>
      </c>
      <c r="G20">
        <v>5252.1984849999999</v>
      </c>
      <c r="H20">
        <v>-2.7251553130000001</v>
      </c>
      <c r="I20">
        <v>7.5311340000000001E-3</v>
      </c>
    </row>
    <row r="21" spans="2:9" x14ac:dyDescent="0.2">
      <c r="B21">
        <v>2</v>
      </c>
      <c r="C21" t="s">
        <v>18</v>
      </c>
      <c r="D21">
        <v>0.82614830100000003</v>
      </c>
      <c r="E21" t="s">
        <v>52</v>
      </c>
      <c r="F21">
        <v>3886.2747869999998</v>
      </c>
      <c r="G21">
        <v>1039.5817199999999</v>
      </c>
      <c r="H21">
        <v>3.7383061980000001</v>
      </c>
      <c r="I21">
        <v>3.0193800000000002E-4</v>
      </c>
    </row>
    <row r="22" spans="2:9" x14ac:dyDescent="0.2">
      <c r="B22">
        <v>2</v>
      </c>
      <c r="C22" t="s">
        <v>18</v>
      </c>
      <c r="D22">
        <v>0.82614830100000003</v>
      </c>
      <c r="E22" t="s">
        <v>53</v>
      </c>
      <c r="F22">
        <v>-2808.9308850000002</v>
      </c>
      <c r="G22">
        <v>1055.0656650000001</v>
      </c>
      <c r="H22">
        <v>-2.6623280220000001</v>
      </c>
      <c r="I22">
        <v>8.9810189999999998E-3</v>
      </c>
    </row>
    <row r="23" spans="2:9" x14ac:dyDescent="0.2">
      <c r="B23">
        <v>2</v>
      </c>
      <c r="C23" t="s">
        <v>18</v>
      </c>
      <c r="D23">
        <v>0.82614830100000003</v>
      </c>
      <c r="E23" t="s">
        <v>54</v>
      </c>
      <c r="F23">
        <v>-1262.015545</v>
      </c>
      <c r="G23">
        <v>1042.6093639999999</v>
      </c>
      <c r="H23">
        <v>-1.210439488</v>
      </c>
      <c r="I23">
        <v>0.22882803800000001</v>
      </c>
    </row>
    <row r="24" spans="2:9" x14ac:dyDescent="0.2">
      <c r="B24">
        <v>2</v>
      </c>
      <c r="C24" t="s">
        <v>18</v>
      </c>
      <c r="D24">
        <v>0.82614830100000003</v>
      </c>
      <c r="E24" t="s">
        <v>55</v>
      </c>
      <c r="F24">
        <v>-1147.838749</v>
      </c>
      <c r="G24">
        <v>2089.687488</v>
      </c>
      <c r="H24">
        <v>-0.54928727600000005</v>
      </c>
      <c r="I24">
        <v>0.583974628</v>
      </c>
    </row>
    <row r="25" spans="2:9" x14ac:dyDescent="0.2">
      <c r="B25">
        <v>2</v>
      </c>
      <c r="C25" t="s">
        <v>18</v>
      </c>
      <c r="D25">
        <v>0.82614830100000003</v>
      </c>
      <c r="E25" t="s">
        <v>56</v>
      </c>
      <c r="F25">
        <v>7370.8689469999999</v>
      </c>
      <c r="G25">
        <v>10534.76719</v>
      </c>
      <c r="H25">
        <v>0.69967079600000004</v>
      </c>
      <c r="I25">
        <v>0.48568011700000002</v>
      </c>
    </row>
    <row r="26" spans="2:9" x14ac:dyDescent="0.2">
      <c r="B26">
        <v>2</v>
      </c>
      <c r="C26" t="s">
        <v>18</v>
      </c>
      <c r="D26">
        <v>0.82614830100000003</v>
      </c>
      <c r="E26" t="s">
        <v>57</v>
      </c>
      <c r="F26">
        <v>295.89861910000002</v>
      </c>
    </row>
    <row r="27" spans="2:9" x14ac:dyDescent="0.2">
      <c r="B27">
        <v>2</v>
      </c>
      <c r="C27" s="1" t="s">
        <v>18</v>
      </c>
      <c r="D27">
        <v>0.82614830100000003</v>
      </c>
      <c r="E27" t="s">
        <v>58</v>
      </c>
      <c r="F27">
        <v>-689.72722290000002</v>
      </c>
    </row>
    <row r="28" spans="2:9" x14ac:dyDescent="0.2">
      <c r="B28">
        <v>2</v>
      </c>
      <c r="C28" s="1" t="s">
        <v>18</v>
      </c>
      <c r="D28">
        <v>0.82614830100000003</v>
      </c>
      <c r="E28" t="s">
        <v>59</v>
      </c>
      <c r="F28">
        <v>393.8286038</v>
      </c>
    </row>
    <row r="29" spans="2:9" x14ac:dyDescent="0.2">
      <c r="B29">
        <v>2</v>
      </c>
      <c r="C29" s="1" t="s">
        <v>18</v>
      </c>
      <c r="D29">
        <v>0.82614830100000003</v>
      </c>
      <c r="E29" t="s">
        <v>36</v>
      </c>
      <c r="F29">
        <v>15707.13841</v>
      </c>
      <c r="G29">
        <v>3374.1987119999999</v>
      </c>
      <c r="H29">
        <v>4.6550721360000002</v>
      </c>
      <c r="I29" s="1">
        <v>9.5100000000000004E-6</v>
      </c>
    </row>
    <row r="30" spans="2:9" x14ac:dyDescent="0.2">
      <c r="B30">
        <v>2</v>
      </c>
      <c r="C30" s="1" t="s">
        <v>18</v>
      </c>
      <c r="D30">
        <v>0.82614830100000003</v>
      </c>
      <c r="E30" t="s">
        <v>60</v>
      </c>
      <c r="F30">
        <v>1353.232765</v>
      </c>
      <c r="G30">
        <v>691.59549049999998</v>
      </c>
      <c r="H30">
        <v>1.956682459</v>
      </c>
      <c r="I30">
        <v>5.3040383000000003E-2</v>
      </c>
    </row>
    <row r="31" spans="2:9" x14ac:dyDescent="0.2">
      <c r="B31">
        <v>2</v>
      </c>
      <c r="C31" s="1" t="s">
        <v>18</v>
      </c>
      <c r="D31">
        <v>0.82614830100000003</v>
      </c>
      <c r="E31" t="s">
        <v>61</v>
      </c>
      <c r="F31">
        <v>-194.54313859999999</v>
      </c>
      <c r="G31">
        <v>18427960606</v>
      </c>
      <c r="H31" s="1">
        <v>-1.0600000000000001E-8</v>
      </c>
      <c r="I31">
        <v>0.999999992</v>
      </c>
    </row>
    <row r="32" spans="2:9" x14ac:dyDescent="0.2">
      <c r="B32">
        <v>2</v>
      </c>
      <c r="C32" t="s">
        <v>18</v>
      </c>
      <c r="D32">
        <v>0.82614830100000003</v>
      </c>
      <c r="E32" t="s">
        <v>70</v>
      </c>
      <c r="F32">
        <v>194.54313859999999</v>
      </c>
      <c r="G32">
        <v>18427960606</v>
      </c>
      <c r="H32" s="1">
        <v>1.0600000000000001E-8</v>
      </c>
      <c r="I32">
        <v>0.999999992</v>
      </c>
    </row>
    <row r="33" spans="2:9" x14ac:dyDescent="0.2">
      <c r="B33">
        <v>2</v>
      </c>
      <c r="C33" t="s">
        <v>18</v>
      </c>
      <c r="D33">
        <v>0.82614830100000003</v>
      </c>
      <c r="E33" t="s">
        <v>63</v>
      </c>
      <c r="F33">
        <v>36805.653079999996</v>
      </c>
    </row>
    <row r="34" spans="2:9" x14ac:dyDescent="0.2">
      <c r="B34">
        <v>3</v>
      </c>
      <c r="C34" t="s">
        <v>19</v>
      </c>
      <c r="D34">
        <v>0.854802909</v>
      </c>
      <c r="E34" t="s">
        <v>49</v>
      </c>
      <c r="F34">
        <v>114829.4206</v>
      </c>
      <c r="G34">
        <v>5151.7011080000002</v>
      </c>
      <c r="H34">
        <v>22.289612349999999</v>
      </c>
      <c r="I34">
        <v>0</v>
      </c>
    </row>
    <row r="35" spans="2:9" x14ac:dyDescent="0.2">
      <c r="B35">
        <v>3</v>
      </c>
      <c r="C35" t="s">
        <v>19</v>
      </c>
      <c r="D35">
        <v>0.854802909</v>
      </c>
      <c r="E35" t="s">
        <v>50</v>
      </c>
      <c r="F35">
        <v>-17980.27649</v>
      </c>
      <c r="G35">
        <v>5351.3773760000004</v>
      </c>
      <c r="H35">
        <v>-3.3599343180000001</v>
      </c>
      <c r="I35">
        <v>1.0876690000000001E-3</v>
      </c>
    </row>
    <row r="36" spans="2:9" x14ac:dyDescent="0.2">
      <c r="B36">
        <v>3</v>
      </c>
      <c r="C36" t="s">
        <v>19</v>
      </c>
      <c r="D36">
        <v>0.854802909</v>
      </c>
      <c r="E36" t="s">
        <v>51</v>
      </c>
      <c r="F36">
        <v>-79028.228740000006</v>
      </c>
      <c r="G36">
        <v>26101.467189999999</v>
      </c>
      <c r="H36">
        <v>-3.027731282</v>
      </c>
      <c r="I36">
        <v>3.1004579999999999E-3</v>
      </c>
    </row>
    <row r="37" spans="2:9" x14ac:dyDescent="0.2">
      <c r="B37">
        <v>3</v>
      </c>
      <c r="C37" t="s">
        <v>19</v>
      </c>
      <c r="D37">
        <v>0.854802909</v>
      </c>
      <c r="E37" t="s">
        <v>52</v>
      </c>
      <c r="F37">
        <v>18983.453409999998</v>
      </c>
      <c r="G37">
        <v>5166.3333430000002</v>
      </c>
      <c r="H37">
        <v>3.6744538430000002</v>
      </c>
      <c r="I37">
        <v>3.7723200000000002E-4</v>
      </c>
    </row>
    <row r="38" spans="2:9" x14ac:dyDescent="0.2">
      <c r="B38">
        <v>3</v>
      </c>
      <c r="C38" t="s">
        <v>19</v>
      </c>
      <c r="D38">
        <v>0.854802909</v>
      </c>
      <c r="E38" t="s">
        <v>53</v>
      </c>
      <c r="F38">
        <v>-14890.183800000001</v>
      </c>
      <c r="G38">
        <v>5243.2827749999997</v>
      </c>
      <c r="H38">
        <v>-2.8398590029999999</v>
      </c>
      <c r="I38">
        <v>5.4208729999999997E-3</v>
      </c>
    </row>
    <row r="39" spans="2:9" x14ac:dyDescent="0.2">
      <c r="B39">
        <v>3</v>
      </c>
      <c r="C39" t="s">
        <v>19</v>
      </c>
      <c r="D39">
        <v>0.854802909</v>
      </c>
      <c r="E39" t="s">
        <v>54</v>
      </c>
      <c r="F39">
        <v>-6314.7482010000003</v>
      </c>
      <c r="G39">
        <v>5181.3796039999997</v>
      </c>
      <c r="H39">
        <v>-1.218738769</v>
      </c>
      <c r="I39">
        <v>0.225674446</v>
      </c>
    </row>
    <row r="40" spans="2:9" x14ac:dyDescent="0.2">
      <c r="B40">
        <v>3</v>
      </c>
      <c r="C40" t="s">
        <v>19</v>
      </c>
      <c r="D40">
        <v>0.854802909</v>
      </c>
      <c r="E40" t="s">
        <v>55</v>
      </c>
      <c r="F40">
        <v>-4541.3258900000001</v>
      </c>
      <c r="G40">
        <v>10384.967280000001</v>
      </c>
      <c r="H40">
        <v>-0.43729804500000002</v>
      </c>
      <c r="I40">
        <v>0.66279331699999999</v>
      </c>
    </row>
    <row r="41" spans="2:9" x14ac:dyDescent="0.2">
      <c r="B41">
        <v>3</v>
      </c>
      <c r="C41" t="s">
        <v>19</v>
      </c>
      <c r="D41">
        <v>0.854802909</v>
      </c>
      <c r="E41" t="s">
        <v>56</v>
      </c>
      <c r="F41">
        <v>34787.387499999997</v>
      </c>
      <c r="G41">
        <v>52353.863060000003</v>
      </c>
      <c r="H41">
        <v>0.66446648799999997</v>
      </c>
      <c r="I41">
        <v>0.50784842299999999</v>
      </c>
    </row>
    <row r="42" spans="2:9" x14ac:dyDescent="0.2">
      <c r="B42">
        <v>3</v>
      </c>
      <c r="C42" t="s">
        <v>19</v>
      </c>
      <c r="D42">
        <v>0.854802909</v>
      </c>
      <c r="E42" t="s">
        <v>57</v>
      </c>
      <c r="F42">
        <v>2721.1063159999999</v>
      </c>
    </row>
    <row r="43" spans="2:9" x14ac:dyDescent="0.2">
      <c r="B43">
        <v>3</v>
      </c>
      <c r="C43" t="s">
        <v>19</v>
      </c>
      <c r="D43">
        <v>0.854802909</v>
      </c>
      <c r="E43" t="s">
        <v>58</v>
      </c>
      <c r="F43">
        <v>-4726.4115419999998</v>
      </c>
    </row>
    <row r="44" spans="2:9" x14ac:dyDescent="0.2">
      <c r="B44">
        <v>3</v>
      </c>
      <c r="C44" t="s">
        <v>19</v>
      </c>
      <c r="D44">
        <v>0.854802909</v>
      </c>
      <c r="E44" t="s">
        <v>59</v>
      </c>
      <c r="F44">
        <v>2005.3052259999999</v>
      </c>
    </row>
    <row r="45" spans="2:9" x14ac:dyDescent="0.2">
      <c r="B45">
        <v>3</v>
      </c>
      <c r="C45" t="s">
        <v>19</v>
      </c>
      <c r="D45">
        <v>0.854802909</v>
      </c>
      <c r="E45" t="s">
        <v>36</v>
      </c>
      <c r="F45">
        <v>86162.313899999994</v>
      </c>
      <c r="G45">
        <v>16768.508890000001</v>
      </c>
      <c r="H45">
        <v>5.1383408309999998</v>
      </c>
      <c r="I45" s="1">
        <v>1.2899999999999999E-6</v>
      </c>
    </row>
    <row r="46" spans="2:9" x14ac:dyDescent="0.2">
      <c r="B46">
        <v>3</v>
      </c>
      <c r="C46" t="s">
        <v>19</v>
      </c>
      <c r="D46">
        <v>0.854802909</v>
      </c>
      <c r="E46" t="s">
        <v>60</v>
      </c>
      <c r="F46">
        <v>6751.8466099999996</v>
      </c>
      <c r="G46">
        <v>3436.971595</v>
      </c>
      <c r="H46">
        <v>1.964475534</v>
      </c>
      <c r="I46">
        <v>5.2117726000000003E-2</v>
      </c>
    </row>
    <row r="47" spans="2:9" x14ac:dyDescent="0.2">
      <c r="B47">
        <v>3</v>
      </c>
      <c r="C47" t="s">
        <v>19</v>
      </c>
      <c r="D47">
        <v>0.854802909</v>
      </c>
      <c r="E47" t="s">
        <v>61</v>
      </c>
      <c r="F47">
        <v>-1214.1859019999999</v>
      </c>
      <c r="G47">
        <v>91580089850</v>
      </c>
      <c r="H47" s="1">
        <v>-1.33E-8</v>
      </c>
      <c r="I47">
        <v>0.99999998899999998</v>
      </c>
    </row>
    <row r="48" spans="2:9" x14ac:dyDescent="0.2">
      <c r="B48">
        <v>3</v>
      </c>
      <c r="C48" t="s">
        <v>19</v>
      </c>
      <c r="D48">
        <v>0.854802909</v>
      </c>
      <c r="E48" t="s">
        <v>70</v>
      </c>
      <c r="F48">
        <v>1214.1859019999999</v>
      </c>
      <c r="G48">
        <v>91580089850</v>
      </c>
      <c r="H48" s="1">
        <v>1.33E-8</v>
      </c>
      <c r="I48">
        <v>0.99999998899999998</v>
      </c>
    </row>
    <row r="49" spans="2:9" x14ac:dyDescent="0.2">
      <c r="B49">
        <v>3</v>
      </c>
      <c r="C49" t="s">
        <v>19</v>
      </c>
      <c r="D49">
        <v>0.854802909</v>
      </c>
      <c r="E49" t="s">
        <v>63</v>
      </c>
      <c r="F49">
        <v>182267.24979999999</v>
      </c>
    </row>
    <row r="50" spans="2:9" x14ac:dyDescent="0.2">
      <c r="B50">
        <v>4</v>
      </c>
      <c r="C50" t="s">
        <v>2</v>
      </c>
      <c r="D50">
        <v>0.97389719200000002</v>
      </c>
      <c r="E50" t="s">
        <v>49</v>
      </c>
      <c r="F50">
        <v>-2.0297889999999999E-2</v>
      </c>
      <c r="G50">
        <v>4.0981399999999999E-4</v>
      </c>
      <c r="H50">
        <v>-49.52952861</v>
      </c>
      <c r="I50">
        <v>0</v>
      </c>
    </row>
    <row r="51" spans="2:9" x14ac:dyDescent="0.2">
      <c r="B51">
        <v>4</v>
      </c>
      <c r="C51" t="s">
        <v>2</v>
      </c>
      <c r="D51">
        <v>0.97389719200000002</v>
      </c>
      <c r="E51" t="s">
        <v>50</v>
      </c>
      <c r="F51">
        <v>6.2099429999999999E-3</v>
      </c>
      <c r="G51">
        <v>4.2569800000000002E-4</v>
      </c>
      <c r="H51">
        <v>14.58767185</v>
      </c>
      <c r="I51">
        <v>0</v>
      </c>
    </row>
    <row r="52" spans="2:9" x14ac:dyDescent="0.2">
      <c r="B52">
        <v>4</v>
      </c>
      <c r="C52" t="s">
        <v>2</v>
      </c>
      <c r="D52">
        <v>0.97389719200000002</v>
      </c>
      <c r="E52" t="s">
        <v>51</v>
      </c>
      <c r="F52">
        <v>-4.1448960000000003E-3</v>
      </c>
      <c r="G52">
        <v>2.0763520000000001E-3</v>
      </c>
      <c r="H52">
        <v>-1.9962396710000001</v>
      </c>
      <c r="I52">
        <v>4.8496640000000001E-2</v>
      </c>
    </row>
    <row r="53" spans="2:9" x14ac:dyDescent="0.2">
      <c r="B53">
        <v>4</v>
      </c>
      <c r="C53" t="s">
        <v>2</v>
      </c>
      <c r="D53">
        <v>0.97389719200000002</v>
      </c>
      <c r="E53" t="s">
        <v>52</v>
      </c>
      <c r="F53">
        <v>2.67283E-4</v>
      </c>
      <c r="G53">
        <v>4.1097799999999999E-4</v>
      </c>
      <c r="H53">
        <v>0.65035802899999995</v>
      </c>
      <c r="I53">
        <v>0.516881488</v>
      </c>
    </row>
    <row r="54" spans="2:9" x14ac:dyDescent="0.2">
      <c r="B54">
        <v>4</v>
      </c>
      <c r="C54" s="1" t="s">
        <v>2</v>
      </c>
      <c r="D54">
        <v>0.97389719200000002</v>
      </c>
      <c r="E54" t="s">
        <v>53</v>
      </c>
      <c r="F54">
        <v>3.8834600000000003E-4</v>
      </c>
      <c r="G54">
        <v>4.1709899999999999E-4</v>
      </c>
      <c r="H54">
        <v>0.93106276300000002</v>
      </c>
      <c r="I54">
        <v>0.35395689600000002</v>
      </c>
    </row>
    <row r="55" spans="2:9" x14ac:dyDescent="0.2">
      <c r="B55">
        <v>4</v>
      </c>
      <c r="C55" t="s">
        <v>2</v>
      </c>
      <c r="D55">
        <v>0.97389719200000002</v>
      </c>
      <c r="E55" t="s">
        <v>54</v>
      </c>
      <c r="F55" s="1">
        <v>8.7200000000000005E-5</v>
      </c>
      <c r="G55">
        <v>4.1217499999999998E-4</v>
      </c>
      <c r="H55">
        <v>0.21147479499999999</v>
      </c>
      <c r="I55">
        <v>0.83292671799999995</v>
      </c>
    </row>
    <row r="56" spans="2:9" x14ac:dyDescent="0.2">
      <c r="B56">
        <v>4</v>
      </c>
      <c r="C56" t="s">
        <v>2</v>
      </c>
      <c r="D56">
        <v>0.97389719200000002</v>
      </c>
      <c r="E56" t="s">
        <v>55</v>
      </c>
      <c r="F56">
        <v>-3.108942E-3</v>
      </c>
      <c r="G56">
        <v>8.26116E-4</v>
      </c>
      <c r="H56">
        <v>-3.7633219699999998</v>
      </c>
      <c r="I56">
        <v>2.7652699999999999E-4</v>
      </c>
    </row>
    <row r="57" spans="2:9" x14ac:dyDescent="0.2">
      <c r="B57">
        <v>4</v>
      </c>
      <c r="C57" t="s">
        <v>2</v>
      </c>
      <c r="D57">
        <v>0.97389719200000002</v>
      </c>
      <c r="E57" t="s">
        <v>56</v>
      </c>
      <c r="F57">
        <v>-3.5341232E-2</v>
      </c>
      <c r="G57">
        <v>4.1647100000000003E-3</v>
      </c>
      <c r="H57">
        <v>-8.4858802999999998</v>
      </c>
      <c r="I57" s="1">
        <v>1.49E-13</v>
      </c>
    </row>
    <row r="58" spans="2:9" x14ac:dyDescent="0.2">
      <c r="B58">
        <v>4</v>
      </c>
      <c r="C58" t="s">
        <v>2</v>
      </c>
      <c r="D58">
        <v>0.97389719200000002</v>
      </c>
      <c r="E58" t="s">
        <v>57</v>
      </c>
      <c r="F58">
        <v>-1.0043490000000001E-3</v>
      </c>
    </row>
    <row r="59" spans="2:9" x14ac:dyDescent="0.2">
      <c r="B59">
        <v>4</v>
      </c>
      <c r="C59" t="s">
        <v>2</v>
      </c>
      <c r="D59">
        <v>0.97389719200000002</v>
      </c>
      <c r="E59" t="s">
        <v>58</v>
      </c>
      <c r="F59">
        <v>6.2405000000000002E-4</v>
      </c>
    </row>
    <row r="60" spans="2:9" x14ac:dyDescent="0.2">
      <c r="B60">
        <v>4</v>
      </c>
      <c r="C60" t="s">
        <v>2</v>
      </c>
      <c r="D60">
        <v>0.97389719200000002</v>
      </c>
      <c r="E60" t="s">
        <v>59</v>
      </c>
      <c r="F60">
        <v>3.8029900000000001E-4</v>
      </c>
    </row>
    <row r="61" spans="2:9" x14ac:dyDescent="0.2">
      <c r="B61">
        <v>4</v>
      </c>
      <c r="C61" s="1" t="s">
        <v>2</v>
      </c>
      <c r="D61">
        <v>0.97389719200000002</v>
      </c>
      <c r="E61" t="s">
        <v>36</v>
      </c>
      <c r="F61">
        <v>-7.2583980000000001E-3</v>
      </c>
      <c r="G61">
        <v>1.333922E-3</v>
      </c>
      <c r="H61">
        <v>-5.4413951960000002</v>
      </c>
      <c r="I61" s="1">
        <v>3.4799999999999999E-7</v>
      </c>
    </row>
    <row r="62" spans="2:9" x14ac:dyDescent="0.2">
      <c r="B62">
        <v>4</v>
      </c>
      <c r="C62" t="s">
        <v>2</v>
      </c>
      <c r="D62">
        <v>0.97389719200000002</v>
      </c>
      <c r="E62" t="s">
        <v>60</v>
      </c>
      <c r="F62">
        <v>5.8654120000000004E-3</v>
      </c>
      <c r="G62">
        <v>2.73408E-4</v>
      </c>
      <c r="H62">
        <v>21.452924400000001</v>
      </c>
      <c r="I62">
        <v>0</v>
      </c>
    </row>
    <row r="63" spans="2:9" x14ac:dyDescent="0.2">
      <c r="B63">
        <v>4</v>
      </c>
      <c r="C63" t="s">
        <v>2</v>
      </c>
      <c r="D63">
        <v>0.97389719200000002</v>
      </c>
      <c r="E63" t="s">
        <v>61</v>
      </c>
      <c r="F63">
        <v>-8.2355799999999995E-4</v>
      </c>
      <c r="G63">
        <v>7285.1268049999999</v>
      </c>
      <c r="H63" s="1">
        <v>-1.1300000000000001E-7</v>
      </c>
      <c r="I63">
        <v>0.99999990999999999</v>
      </c>
    </row>
    <row r="64" spans="2:9" x14ac:dyDescent="0.2">
      <c r="B64">
        <v>4</v>
      </c>
      <c r="C64" t="s">
        <v>2</v>
      </c>
      <c r="D64">
        <v>0.97389719200000002</v>
      </c>
      <c r="E64" t="s">
        <v>70</v>
      </c>
      <c r="F64">
        <v>8.2355799999999995E-4</v>
      </c>
      <c r="G64">
        <v>7285.1268049999999</v>
      </c>
      <c r="H64" s="1">
        <v>1.1300000000000001E-7</v>
      </c>
      <c r="I64">
        <v>0.99999990999999999</v>
      </c>
    </row>
    <row r="65" spans="2:9" x14ac:dyDescent="0.2">
      <c r="B65">
        <v>4</v>
      </c>
      <c r="C65" t="s">
        <v>2</v>
      </c>
      <c r="D65">
        <v>0.97389719200000002</v>
      </c>
      <c r="E65" t="s">
        <v>63</v>
      </c>
      <c r="F65">
        <v>0.84031249100000005</v>
      </c>
    </row>
    <row r="66" spans="2:9" x14ac:dyDescent="0.2">
      <c r="B66">
        <v>5</v>
      </c>
      <c r="C66" t="s">
        <v>10</v>
      </c>
      <c r="D66">
        <v>0.74342025700000003</v>
      </c>
      <c r="E66" t="s">
        <v>49</v>
      </c>
      <c r="F66">
        <v>-3.1752109160000002</v>
      </c>
      <c r="G66">
        <v>0.22649799700000001</v>
      </c>
      <c r="H66">
        <v>-14.018715220000001</v>
      </c>
      <c r="I66">
        <v>0</v>
      </c>
    </row>
    <row r="67" spans="2:9" x14ac:dyDescent="0.2">
      <c r="B67">
        <v>5</v>
      </c>
      <c r="C67" t="s">
        <v>10</v>
      </c>
      <c r="D67">
        <v>0.74342025700000003</v>
      </c>
      <c r="E67" t="s">
        <v>50</v>
      </c>
      <c r="F67">
        <v>0.87914628399999994</v>
      </c>
      <c r="G67">
        <v>0.23527689800000001</v>
      </c>
      <c r="H67">
        <v>3.7366451679999999</v>
      </c>
      <c r="I67">
        <v>3.0370100000000003E-4</v>
      </c>
    </row>
    <row r="68" spans="2:9" x14ac:dyDescent="0.2">
      <c r="B68">
        <v>5</v>
      </c>
      <c r="C68" t="s">
        <v>10</v>
      </c>
      <c r="D68">
        <v>0.74342025700000003</v>
      </c>
      <c r="E68" t="s">
        <v>51</v>
      </c>
      <c r="F68">
        <v>2.8651869890000001</v>
      </c>
      <c r="G68">
        <v>1.1475685229999999</v>
      </c>
      <c r="H68">
        <v>2.4967458859999998</v>
      </c>
      <c r="I68">
        <v>1.4088033999999999E-2</v>
      </c>
    </row>
    <row r="69" spans="2:9" x14ac:dyDescent="0.2">
      <c r="B69">
        <v>5</v>
      </c>
      <c r="C69" t="s">
        <v>10</v>
      </c>
      <c r="D69">
        <v>0.74342025700000003</v>
      </c>
      <c r="E69" t="s">
        <v>52</v>
      </c>
      <c r="F69">
        <v>-0.26792849600000002</v>
      </c>
      <c r="G69">
        <v>0.22714131300000001</v>
      </c>
      <c r="H69">
        <v>-1.179567437</v>
      </c>
      <c r="I69">
        <v>0.24083801499999999</v>
      </c>
    </row>
    <row r="70" spans="2:9" x14ac:dyDescent="0.2">
      <c r="B70">
        <v>5</v>
      </c>
      <c r="C70" t="s">
        <v>10</v>
      </c>
      <c r="D70">
        <v>0.74342025700000003</v>
      </c>
      <c r="E70" t="s">
        <v>53</v>
      </c>
      <c r="F70">
        <v>1.179388981</v>
      </c>
      <c r="G70">
        <v>0.23052444599999999</v>
      </c>
      <c r="H70">
        <v>5.1161124149999999</v>
      </c>
      <c r="I70" s="1">
        <v>1.4100000000000001E-6</v>
      </c>
    </row>
    <row r="71" spans="2:9" x14ac:dyDescent="0.2">
      <c r="B71">
        <v>5</v>
      </c>
      <c r="C71" t="s">
        <v>10</v>
      </c>
      <c r="D71">
        <v>0.74342025700000003</v>
      </c>
      <c r="E71" t="s">
        <v>54</v>
      </c>
      <c r="F71">
        <v>-9.3893299999999998E-4</v>
      </c>
      <c r="G71">
        <v>0.22780283200000001</v>
      </c>
      <c r="H71">
        <v>-4.1216910000000002E-3</v>
      </c>
      <c r="I71">
        <v>0.99671919600000003</v>
      </c>
    </row>
    <row r="72" spans="2:9" x14ac:dyDescent="0.2">
      <c r="B72">
        <v>5</v>
      </c>
      <c r="C72" t="s">
        <v>10</v>
      </c>
      <c r="D72">
        <v>0.74342025700000003</v>
      </c>
      <c r="E72" t="s">
        <v>55</v>
      </c>
      <c r="F72">
        <v>-0.119251103</v>
      </c>
      <c r="G72">
        <v>0.45658205600000001</v>
      </c>
      <c r="H72">
        <v>-0.26118219399999998</v>
      </c>
      <c r="I72">
        <v>0.79446360800000004</v>
      </c>
    </row>
    <row r="73" spans="2:9" x14ac:dyDescent="0.2">
      <c r="B73">
        <v>5</v>
      </c>
      <c r="C73" t="s">
        <v>10</v>
      </c>
      <c r="D73">
        <v>0.74342025700000003</v>
      </c>
      <c r="E73" t="s">
        <v>56</v>
      </c>
      <c r="F73">
        <v>-6.8440744809999998</v>
      </c>
      <c r="G73">
        <v>2.3017727269999999</v>
      </c>
      <c r="H73">
        <v>-2.9733928120000002</v>
      </c>
      <c r="I73">
        <v>3.6535309999999998E-3</v>
      </c>
    </row>
    <row r="74" spans="2:9" x14ac:dyDescent="0.2">
      <c r="B74">
        <v>5</v>
      </c>
      <c r="C74" t="s">
        <v>10</v>
      </c>
      <c r="D74">
        <v>0.74342025700000003</v>
      </c>
      <c r="E74" t="s">
        <v>57</v>
      </c>
      <c r="F74">
        <v>-7.8657668E-2</v>
      </c>
    </row>
    <row r="75" spans="2:9" x14ac:dyDescent="0.2">
      <c r="B75">
        <v>5</v>
      </c>
      <c r="C75" t="s">
        <v>10</v>
      </c>
      <c r="D75">
        <v>0.74342025700000003</v>
      </c>
      <c r="E75" t="s">
        <v>58</v>
      </c>
      <c r="F75">
        <v>0.14084355300000001</v>
      </c>
    </row>
    <row r="76" spans="2:9" x14ac:dyDescent="0.2">
      <c r="B76">
        <v>5</v>
      </c>
      <c r="C76" t="s">
        <v>10</v>
      </c>
      <c r="D76">
        <v>0.74342025700000003</v>
      </c>
      <c r="E76" t="s">
        <v>59</v>
      </c>
      <c r="F76">
        <v>-6.2185885000000003E-2</v>
      </c>
    </row>
    <row r="77" spans="2:9" x14ac:dyDescent="0.2">
      <c r="B77">
        <v>5</v>
      </c>
      <c r="C77" t="s">
        <v>10</v>
      </c>
      <c r="D77">
        <v>0.74342025700000003</v>
      </c>
      <c r="E77" t="s">
        <v>36</v>
      </c>
      <c r="F77">
        <v>-3.451815452</v>
      </c>
      <c r="G77">
        <v>0.737238748</v>
      </c>
      <c r="H77">
        <v>-4.6820863170000004</v>
      </c>
      <c r="I77" s="1">
        <v>8.5299999999999996E-6</v>
      </c>
    </row>
    <row r="78" spans="2:9" x14ac:dyDescent="0.2">
      <c r="B78">
        <v>5</v>
      </c>
      <c r="C78" t="s">
        <v>10</v>
      </c>
      <c r="D78">
        <v>0.74342025700000003</v>
      </c>
      <c r="E78" t="s">
        <v>60</v>
      </c>
      <c r="F78">
        <v>3.4709451000000002E-2</v>
      </c>
      <c r="G78">
        <v>0.15110876300000001</v>
      </c>
      <c r="H78">
        <v>0.22969846899999999</v>
      </c>
      <c r="I78">
        <v>0.818772952</v>
      </c>
    </row>
    <row r="79" spans="2:9" x14ac:dyDescent="0.2">
      <c r="B79">
        <v>5</v>
      </c>
      <c r="C79" t="s">
        <v>10</v>
      </c>
      <c r="D79">
        <v>0.74342025700000003</v>
      </c>
      <c r="E79" t="s">
        <v>61</v>
      </c>
      <c r="F79">
        <v>-1.5721995999999999E-2</v>
      </c>
      <c r="G79">
        <v>4026380.1140000001</v>
      </c>
      <c r="H79" s="1">
        <v>-3.9000000000000002E-9</v>
      </c>
      <c r="I79">
        <v>0.99999999699999997</v>
      </c>
    </row>
    <row r="80" spans="2:9" x14ac:dyDescent="0.2">
      <c r="B80">
        <v>5</v>
      </c>
      <c r="C80" t="s">
        <v>10</v>
      </c>
      <c r="D80">
        <v>0.74342025700000003</v>
      </c>
      <c r="E80" t="s">
        <v>70</v>
      </c>
      <c r="F80">
        <v>1.5721995999999999E-2</v>
      </c>
      <c r="G80">
        <v>4026380.1140000001</v>
      </c>
      <c r="H80" s="1">
        <v>3.9000000000000002E-9</v>
      </c>
      <c r="I80">
        <v>0.99999999699999997</v>
      </c>
    </row>
    <row r="81" spans="2:9" x14ac:dyDescent="0.2">
      <c r="B81">
        <v>5</v>
      </c>
      <c r="C81" t="s">
        <v>10</v>
      </c>
      <c r="D81">
        <v>0.74342025700000003</v>
      </c>
      <c r="E81" t="s">
        <v>63</v>
      </c>
      <c r="F81">
        <v>22.69922914</v>
      </c>
    </row>
    <row r="82" spans="2:9" x14ac:dyDescent="0.2">
      <c r="B82">
        <v>6</v>
      </c>
      <c r="C82" t="s">
        <v>11</v>
      </c>
      <c r="D82">
        <v>0.84220045799999999</v>
      </c>
      <c r="E82" t="s">
        <v>49</v>
      </c>
      <c r="F82">
        <v>-8.0952936179999995</v>
      </c>
      <c r="G82">
        <v>0.56313869900000002</v>
      </c>
      <c r="H82">
        <v>-14.375310450000001</v>
      </c>
      <c r="I82">
        <v>0</v>
      </c>
    </row>
    <row r="83" spans="2:9" x14ac:dyDescent="0.2">
      <c r="B83">
        <v>6</v>
      </c>
      <c r="C83" t="s">
        <v>11</v>
      </c>
      <c r="D83">
        <v>0.84220045799999999</v>
      </c>
      <c r="E83" t="s">
        <v>50</v>
      </c>
      <c r="F83">
        <v>0.39288927800000001</v>
      </c>
      <c r="G83">
        <v>0.58496555400000005</v>
      </c>
      <c r="H83">
        <v>0.67164515199999997</v>
      </c>
      <c r="I83">
        <v>0.50328468100000001</v>
      </c>
    </row>
    <row r="84" spans="2:9" x14ac:dyDescent="0.2">
      <c r="B84">
        <v>6</v>
      </c>
      <c r="C84" t="s">
        <v>11</v>
      </c>
      <c r="D84">
        <v>0.84220045799999999</v>
      </c>
      <c r="E84" t="s">
        <v>51</v>
      </c>
      <c r="F84">
        <v>6.8413865840000003</v>
      </c>
      <c r="G84">
        <v>2.8531830469999999</v>
      </c>
      <c r="H84">
        <v>2.3978085079999998</v>
      </c>
      <c r="I84">
        <v>1.8259073000000001E-2</v>
      </c>
    </row>
    <row r="85" spans="2:9" x14ac:dyDescent="0.2">
      <c r="B85">
        <v>6</v>
      </c>
      <c r="C85" t="s">
        <v>11</v>
      </c>
      <c r="D85">
        <v>0.84220045799999999</v>
      </c>
      <c r="E85" t="s">
        <v>52</v>
      </c>
      <c r="F85">
        <v>0.59223797300000003</v>
      </c>
      <c r="G85">
        <v>0.56473816600000004</v>
      </c>
      <c r="H85">
        <v>1.048694791</v>
      </c>
      <c r="I85">
        <v>0.29672647699999999</v>
      </c>
    </row>
    <row r="86" spans="2:9" x14ac:dyDescent="0.2">
      <c r="B86">
        <v>6</v>
      </c>
      <c r="C86" t="s">
        <v>11</v>
      </c>
      <c r="D86">
        <v>0.84220045799999999</v>
      </c>
      <c r="E86" t="s">
        <v>53</v>
      </c>
      <c r="F86">
        <v>0.36319462899999999</v>
      </c>
      <c r="G86">
        <v>0.57314960199999998</v>
      </c>
      <c r="H86">
        <v>0.63368207499999996</v>
      </c>
      <c r="I86">
        <v>0.52766629600000003</v>
      </c>
    </row>
    <row r="87" spans="2:9" x14ac:dyDescent="0.2">
      <c r="B87">
        <v>6</v>
      </c>
      <c r="C87" t="s">
        <v>11</v>
      </c>
      <c r="D87">
        <v>0.84220045799999999</v>
      </c>
      <c r="E87" t="s">
        <v>54</v>
      </c>
      <c r="F87">
        <v>-0.74061390100000002</v>
      </c>
      <c r="G87">
        <v>0.56638289100000005</v>
      </c>
      <c r="H87">
        <v>-1.307620539</v>
      </c>
      <c r="I87">
        <v>0.19385794000000001</v>
      </c>
    </row>
    <row r="88" spans="2:9" x14ac:dyDescent="0.2">
      <c r="B88">
        <v>6</v>
      </c>
      <c r="C88" t="s">
        <v>11</v>
      </c>
      <c r="D88">
        <v>0.84220045799999999</v>
      </c>
      <c r="E88" t="s">
        <v>55</v>
      </c>
      <c r="F88">
        <v>-0.78691260200000002</v>
      </c>
      <c r="G88">
        <v>1.1351933729999999</v>
      </c>
      <c r="H88">
        <v>-0.69319696600000003</v>
      </c>
      <c r="I88">
        <v>0.48971645899999999</v>
      </c>
    </row>
    <row r="89" spans="2:9" x14ac:dyDescent="0.2">
      <c r="B89">
        <v>6</v>
      </c>
      <c r="C89" t="s">
        <v>11</v>
      </c>
      <c r="D89">
        <v>0.84220045799999999</v>
      </c>
      <c r="E89" t="s">
        <v>56</v>
      </c>
      <c r="F89">
        <v>-16.68537985</v>
      </c>
      <c r="G89">
        <v>5.7228642900000004</v>
      </c>
      <c r="H89">
        <v>-2.91556448</v>
      </c>
      <c r="I89">
        <v>4.3410209999999996E-3</v>
      </c>
    </row>
    <row r="90" spans="2:9" x14ac:dyDescent="0.2">
      <c r="B90">
        <v>6</v>
      </c>
      <c r="C90" t="s">
        <v>11</v>
      </c>
      <c r="D90">
        <v>0.84220045799999999</v>
      </c>
      <c r="E90" t="s">
        <v>57</v>
      </c>
      <c r="F90">
        <v>1.775404947</v>
      </c>
    </row>
    <row r="91" spans="2:9" x14ac:dyDescent="0.2">
      <c r="B91">
        <v>6</v>
      </c>
      <c r="C91" t="s">
        <v>11</v>
      </c>
      <c r="D91">
        <v>0.84220045799999999</v>
      </c>
      <c r="E91" t="s">
        <v>58</v>
      </c>
      <c r="F91">
        <v>-1.2119143859999999</v>
      </c>
    </row>
    <row r="92" spans="2:9" x14ac:dyDescent="0.2">
      <c r="B92">
        <v>6</v>
      </c>
      <c r="C92" t="s">
        <v>11</v>
      </c>
      <c r="D92">
        <v>0.84220045799999999</v>
      </c>
      <c r="E92" t="s">
        <v>59</v>
      </c>
      <c r="F92">
        <v>-0.56349056099999995</v>
      </c>
    </row>
    <row r="93" spans="2:9" x14ac:dyDescent="0.2">
      <c r="B93">
        <v>6</v>
      </c>
      <c r="C93" t="s">
        <v>11</v>
      </c>
      <c r="D93">
        <v>0.84220045799999999</v>
      </c>
      <c r="E93" t="s">
        <v>36</v>
      </c>
      <c r="F93">
        <v>-3.0659649660000001</v>
      </c>
      <c r="G93">
        <v>1.8329860520000001</v>
      </c>
      <c r="H93">
        <v>-1.672661373</v>
      </c>
      <c r="I93">
        <v>9.7371138999999995E-2</v>
      </c>
    </row>
    <row r="94" spans="2:9" x14ac:dyDescent="0.2">
      <c r="B94">
        <v>6</v>
      </c>
      <c r="C94" t="s">
        <v>11</v>
      </c>
      <c r="D94">
        <v>0.84220045799999999</v>
      </c>
      <c r="E94" t="s">
        <v>60</v>
      </c>
      <c r="F94">
        <v>4.2119220339999996</v>
      </c>
      <c r="G94">
        <v>0.37569953499999997</v>
      </c>
      <c r="H94">
        <v>11.21087902</v>
      </c>
      <c r="I94">
        <v>0</v>
      </c>
    </row>
    <row r="95" spans="2:9" x14ac:dyDescent="0.2">
      <c r="B95">
        <v>6</v>
      </c>
      <c r="C95" t="s">
        <v>11</v>
      </c>
      <c r="D95">
        <v>0.84220045799999999</v>
      </c>
      <c r="E95" t="s">
        <v>61</v>
      </c>
      <c r="F95">
        <v>1.348810303</v>
      </c>
      <c r="G95">
        <v>10010730.73</v>
      </c>
      <c r="H95" s="1">
        <v>1.35E-7</v>
      </c>
      <c r="I95">
        <v>0.99999989300000003</v>
      </c>
    </row>
    <row r="96" spans="2:9" x14ac:dyDescent="0.2">
      <c r="B96">
        <v>6</v>
      </c>
      <c r="C96" t="s">
        <v>11</v>
      </c>
      <c r="D96">
        <v>0.84220045799999999</v>
      </c>
      <c r="E96" t="s">
        <v>70</v>
      </c>
      <c r="F96">
        <v>-1.348810303</v>
      </c>
      <c r="G96">
        <v>10010730.73</v>
      </c>
      <c r="H96" s="1">
        <v>-1.35E-7</v>
      </c>
      <c r="I96">
        <v>0.99999989300000003</v>
      </c>
    </row>
    <row r="97" spans="2:9" x14ac:dyDescent="0.2">
      <c r="B97">
        <v>6</v>
      </c>
      <c r="C97" t="s">
        <v>11</v>
      </c>
      <c r="D97">
        <v>0.84220045799999999</v>
      </c>
      <c r="E97" t="s">
        <v>63</v>
      </c>
      <c r="F97">
        <v>62.754626129999998</v>
      </c>
    </row>
    <row r="98" spans="2:9" x14ac:dyDescent="0.2">
      <c r="B98">
        <v>7</v>
      </c>
      <c r="C98" t="s">
        <v>12</v>
      </c>
      <c r="D98">
        <v>0.88454858300000005</v>
      </c>
      <c r="E98" t="s">
        <v>49</v>
      </c>
      <c r="F98">
        <v>-4.521881101</v>
      </c>
      <c r="G98">
        <v>0.450715168</v>
      </c>
      <c r="H98">
        <v>-10.032680109999999</v>
      </c>
      <c r="I98">
        <v>0</v>
      </c>
    </row>
    <row r="99" spans="2:9" x14ac:dyDescent="0.2">
      <c r="B99">
        <v>7</v>
      </c>
      <c r="C99" t="s">
        <v>12</v>
      </c>
      <c r="D99">
        <v>0.88454858300000005</v>
      </c>
      <c r="E99" t="s">
        <v>50</v>
      </c>
      <c r="F99">
        <v>-0.21563278</v>
      </c>
      <c r="G99">
        <v>0.468184567</v>
      </c>
      <c r="H99">
        <v>-0.46057216499999998</v>
      </c>
      <c r="I99">
        <v>0.64605805299999997</v>
      </c>
    </row>
    <row r="100" spans="2:9" x14ac:dyDescent="0.2">
      <c r="B100">
        <v>7</v>
      </c>
      <c r="C100" t="s">
        <v>12</v>
      </c>
      <c r="D100">
        <v>0.88454858300000005</v>
      </c>
      <c r="E100" t="s">
        <v>51</v>
      </c>
      <c r="F100">
        <v>3.735349405</v>
      </c>
      <c r="G100">
        <v>2.2835810790000002</v>
      </c>
      <c r="H100">
        <v>1.6357419660000001</v>
      </c>
      <c r="I100">
        <v>0.10488787199999999</v>
      </c>
    </row>
    <row r="101" spans="2:9" x14ac:dyDescent="0.2">
      <c r="B101">
        <v>7</v>
      </c>
      <c r="C101" t="s">
        <v>12</v>
      </c>
      <c r="D101">
        <v>0.88454858300000005</v>
      </c>
      <c r="E101" t="s">
        <v>52</v>
      </c>
      <c r="F101">
        <v>-0.38328511199999998</v>
      </c>
      <c r="G101">
        <v>0.45199532199999998</v>
      </c>
      <c r="H101">
        <v>-0.84798468800000004</v>
      </c>
      <c r="I101">
        <v>0.39837541100000001</v>
      </c>
    </row>
    <row r="102" spans="2:9" x14ac:dyDescent="0.2">
      <c r="B102">
        <v>7</v>
      </c>
      <c r="C102" t="s">
        <v>12</v>
      </c>
      <c r="D102">
        <v>0.88454858300000005</v>
      </c>
      <c r="E102" t="s">
        <v>53</v>
      </c>
      <c r="F102">
        <v>-0.628136943</v>
      </c>
      <c r="G102">
        <v>0.45872752100000003</v>
      </c>
      <c r="H102">
        <v>-1.3693029400000001</v>
      </c>
      <c r="I102">
        <v>0.17382634299999999</v>
      </c>
    </row>
    <row r="103" spans="2:9" x14ac:dyDescent="0.2">
      <c r="B103">
        <v>7</v>
      </c>
      <c r="C103" t="s">
        <v>12</v>
      </c>
      <c r="D103">
        <v>0.88454858300000005</v>
      </c>
      <c r="E103" t="s">
        <v>54</v>
      </c>
      <c r="F103">
        <v>-0.52967357900000001</v>
      </c>
      <c r="G103">
        <v>0.45331169900000001</v>
      </c>
      <c r="H103">
        <v>-1.168453363</v>
      </c>
      <c r="I103">
        <v>0.245270033</v>
      </c>
    </row>
    <row r="104" spans="2:9" x14ac:dyDescent="0.2">
      <c r="B104">
        <v>7</v>
      </c>
      <c r="C104" t="s">
        <v>12</v>
      </c>
      <c r="D104">
        <v>0.88454858300000005</v>
      </c>
      <c r="E104" t="s">
        <v>55</v>
      </c>
      <c r="F104">
        <v>-0.23275124599999999</v>
      </c>
      <c r="G104">
        <v>0.90856634999999997</v>
      </c>
      <c r="H104">
        <v>-0.256174187</v>
      </c>
      <c r="I104">
        <v>0.79831756200000004</v>
      </c>
    </row>
    <row r="105" spans="2:9" x14ac:dyDescent="0.2">
      <c r="B105">
        <v>7</v>
      </c>
      <c r="C105" t="s">
        <v>12</v>
      </c>
      <c r="D105">
        <v>0.88454858300000005</v>
      </c>
      <c r="E105" t="s">
        <v>56</v>
      </c>
      <c r="F105">
        <v>-8.1116777419999995</v>
      </c>
      <c r="G105">
        <v>4.5803666979999997</v>
      </c>
      <c r="H105">
        <v>-1.770966885</v>
      </c>
      <c r="I105">
        <v>7.9467904000000006E-2</v>
      </c>
    </row>
    <row r="106" spans="2:9" x14ac:dyDescent="0.2">
      <c r="B106">
        <v>7</v>
      </c>
      <c r="C106" t="s">
        <v>12</v>
      </c>
      <c r="D106">
        <v>0.88454858300000005</v>
      </c>
      <c r="E106" t="s">
        <v>57</v>
      </c>
      <c r="F106">
        <v>1.300776648</v>
      </c>
    </row>
    <row r="107" spans="2:9" x14ac:dyDescent="0.2">
      <c r="B107">
        <v>7</v>
      </c>
      <c r="C107" t="s">
        <v>12</v>
      </c>
      <c r="D107">
        <v>0.88454858300000005</v>
      </c>
      <c r="E107" t="s">
        <v>58</v>
      </c>
      <c r="F107">
        <v>-0.83604074900000003</v>
      </c>
    </row>
    <row r="108" spans="2:9" x14ac:dyDescent="0.2">
      <c r="B108">
        <v>7</v>
      </c>
      <c r="C108" t="s">
        <v>12</v>
      </c>
      <c r="D108">
        <v>0.88454858300000005</v>
      </c>
      <c r="E108" t="s">
        <v>59</v>
      </c>
      <c r="F108">
        <v>-0.46473589900000001</v>
      </c>
    </row>
    <row r="109" spans="2:9" x14ac:dyDescent="0.2">
      <c r="B109">
        <v>7</v>
      </c>
      <c r="C109" t="s">
        <v>12</v>
      </c>
      <c r="D109">
        <v>0.88454858300000005</v>
      </c>
      <c r="E109" t="s">
        <v>36</v>
      </c>
      <c r="F109">
        <v>-3.6744835089999999</v>
      </c>
      <c r="G109">
        <v>1.467053532</v>
      </c>
      <c r="H109">
        <v>-2.5046690049999998</v>
      </c>
      <c r="I109">
        <v>1.3794129E-2</v>
      </c>
    </row>
    <row r="110" spans="2:9" x14ac:dyDescent="0.2">
      <c r="B110">
        <v>7</v>
      </c>
      <c r="C110" t="s">
        <v>12</v>
      </c>
      <c r="D110">
        <v>0.88454858300000005</v>
      </c>
      <c r="E110" t="s">
        <v>60</v>
      </c>
      <c r="F110">
        <v>6.0695094689999998</v>
      </c>
      <c r="G110">
        <v>0.30069586700000001</v>
      </c>
      <c r="H110">
        <v>20.184878269999999</v>
      </c>
      <c r="I110">
        <v>0</v>
      </c>
    </row>
    <row r="111" spans="2:9" x14ac:dyDescent="0.2">
      <c r="B111">
        <v>7</v>
      </c>
      <c r="C111" t="s">
        <v>12</v>
      </c>
      <c r="D111">
        <v>0.88454858300000005</v>
      </c>
      <c r="E111" t="s">
        <v>61</v>
      </c>
      <c r="F111">
        <v>1.1995913460000001</v>
      </c>
      <c r="G111">
        <v>8012214.7479999997</v>
      </c>
      <c r="H111" s="1">
        <v>1.4999999999999999E-7</v>
      </c>
      <c r="I111">
        <v>0.99999988100000003</v>
      </c>
    </row>
    <row r="112" spans="2:9" x14ac:dyDescent="0.2">
      <c r="B112">
        <v>7</v>
      </c>
      <c r="C112" t="s">
        <v>12</v>
      </c>
      <c r="D112">
        <v>0.88454858300000005</v>
      </c>
      <c r="E112" t="s">
        <v>70</v>
      </c>
      <c r="F112">
        <v>-1.1995913460000001</v>
      </c>
      <c r="G112">
        <v>8012214.7479999997</v>
      </c>
      <c r="H112" s="1">
        <v>-1.4999999999999999E-7</v>
      </c>
      <c r="I112">
        <v>0.99999988100000003</v>
      </c>
    </row>
    <row r="113" spans="2:9" x14ac:dyDescent="0.2">
      <c r="B113">
        <v>7</v>
      </c>
      <c r="C113" t="s">
        <v>12</v>
      </c>
      <c r="D113">
        <v>0.88454858300000005</v>
      </c>
      <c r="E113" t="s">
        <v>63</v>
      </c>
      <c r="F113">
        <v>44.796319480000001</v>
      </c>
    </row>
    <row r="114" spans="2:9" x14ac:dyDescent="0.2">
      <c r="B114">
        <v>8</v>
      </c>
      <c r="C114" t="s">
        <v>3</v>
      </c>
      <c r="D114">
        <v>0.96253449800000002</v>
      </c>
      <c r="E114" t="s">
        <v>49</v>
      </c>
      <c r="F114">
        <v>4.68762E-3</v>
      </c>
      <c r="G114" s="1">
        <v>9.9300000000000001E-5</v>
      </c>
      <c r="H114">
        <v>47.206931750000003</v>
      </c>
      <c r="I114">
        <v>0</v>
      </c>
    </row>
    <row r="115" spans="2:9" x14ac:dyDescent="0.2">
      <c r="B115">
        <v>8</v>
      </c>
      <c r="C115" t="s">
        <v>3</v>
      </c>
      <c r="D115">
        <v>0.96253449800000002</v>
      </c>
      <c r="E115" t="s">
        <v>50</v>
      </c>
      <c r="F115">
        <v>-9.0826800000000005E-4</v>
      </c>
      <c r="G115">
        <v>1.03148E-4</v>
      </c>
      <c r="H115">
        <v>-8.8054638940000007</v>
      </c>
      <c r="I115" s="1">
        <v>2.9099999999999997E-14</v>
      </c>
    </row>
    <row r="116" spans="2:9" x14ac:dyDescent="0.2">
      <c r="B116">
        <v>8</v>
      </c>
      <c r="C116" t="s">
        <v>3</v>
      </c>
      <c r="D116">
        <v>0.96253449800000002</v>
      </c>
      <c r="E116" t="s">
        <v>51</v>
      </c>
      <c r="F116">
        <v>-7.9683499999999997E-4</v>
      </c>
      <c r="G116">
        <v>5.0310800000000005E-4</v>
      </c>
      <c r="H116">
        <v>-1.5838268499999999</v>
      </c>
      <c r="I116">
        <v>0.11624053600000001</v>
      </c>
    </row>
    <row r="117" spans="2:9" x14ac:dyDescent="0.2">
      <c r="B117">
        <v>8</v>
      </c>
      <c r="C117" t="s">
        <v>3</v>
      </c>
      <c r="D117">
        <v>0.96253449800000002</v>
      </c>
      <c r="E117" t="s">
        <v>52</v>
      </c>
      <c r="F117">
        <v>1.5548100000000001E-4</v>
      </c>
      <c r="G117" s="1">
        <v>9.9599999999999995E-5</v>
      </c>
      <c r="H117">
        <v>1.5613478999999999</v>
      </c>
      <c r="I117">
        <v>0.121450743</v>
      </c>
    </row>
    <row r="118" spans="2:9" x14ac:dyDescent="0.2">
      <c r="B118">
        <v>8</v>
      </c>
      <c r="C118" t="s">
        <v>3</v>
      </c>
      <c r="D118">
        <v>0.96253449800000002</v>
      </c>
      <c r="E118" t="s">
        <v>53</v>
      </c>
      <c r="F118">
        <v>-1.194482E-3</v>
      </c>
      <c r="G118">
        <v>1.01065E-4</v>
      </c>
      <c r="H118">
        <v>-11.818985400000001</v>
      </c>
      <c r="I118">
        <v>0</v>
      </c>
    </row>
    <row r="119" spans="2:9" x14ac:dyDescent="0.2">
      <c r="B119">
        <v>8</v>
      </c>
      <c r="C119" t="s">
        <v>3</v>
      </c>
      <c r="D119">
        <v>0.96253449800000002</v>
      </c>
      <c r="E119" t="s">
        <v>54</v>
      </c>
      <c r="F119">
        <v>-1.3358399999999999E-4</v>
      </c>
      <c r="G119" s="1">
        <v>9.9900000000000002E-5</v>
      </c>
      <c r="H119">
        <v>-1.337557984</v>
      </c>
      <c r="I119">
        <v>0.18393063000000001</v>
      </c>
    </row>
    <row r="120" spans="2:9" x14ac:dyDescent="0.2">
      <c r="B120">
        <v>8</v>
      </c>
      <c r="C120" t="s">
        <v>3</v>
      </c>
      <c r="D120">
        <v>0.96253449800000002</v>
      </c>
      <c r="E120" t="s">
        <v>55</v>
      </c>
      <c r="F120">
        <v>-3.3482100000000001E-4</v>
      </c>
      <c r="G120">
        <v>2.0017099999999999E-4</v>
      </c>
      <c r="H120">
        <v>-1.6726772430000001</v>
      </c>
      <c r="I120">
        <v>9.7368003999999994E-2</v>
      </c>
    </row>
    <row r="121" spans="2:9" x14ac:dyDescent="0.2">
      <c r="B121">
        <v>8</v>
      </c>
      <c r="C121" t="s">
        <v>3</v>
      </c>
      <c r="D121">
        <v>0.96253449800000002</v>
      </c>
      <c r="E121" t="s">
        <v>56</v>
      </c>
      <c r="F121">
        <v>6.3396340000000002E-3</v>
      </c>
      <c r="G121">
        <v>1.0091239999999999E-3</v>
      </c>
      <c r="H121">
        <v>6.2823118400000002</v>
      </c>
      <c r="I121" s="1">
        <v>7.6999999999999995E-9</v>
      </c>
    </row>
    <row r="122" spans="2:9" x14ac:dyDescent="0.2">
      <c r="B122">
        <v>8</v>
      </c>
      <c r="C122" t="s">
        <v>3</v>
      </c>
      <c r="D122">
        <v>0.96253449800000002</v>
      </c>
      <c r="E122" t="s">
        <v>57</v>
      </c>
      <c r="F122" s="1">
        <v>-4.6300000000000001E-5</v>
      </c>
    </row>
    <row r="123" spans="2:9" x14ac:dyDescent="0.2">
      <c r="B123">
        <v>8</v>
      </c>
      <c r="C123" t="s">
        <v>3</v>
      </c>
      <c r="D123">
        <v>0.96253449800000002</v>
      </c>
      <c r="E123" t="s">
        <v>58</v>
      </c>
      <c r="F123" s="1">
        <v>7.0899999999999999E-6</v>
      </c>
    </row>
    <row r="124" spans="2:9" x14ac:dyDescent="0.2">
      <c r="B124">
        <v>8</v>
      </c>
      <c r="C124" t="s">
        <v>3</v>
      </c>
      <c r="D124">
        <v>0.96253449800000002</v>
      </c>
      <c r="E124" t="s">
        <v>59</v>
      </c>
      <c r="F124" s="1">
        <v>3.9199999999999997E-5</v>
      </c>
    </row>
    <row r="125" spans="2:9" x14ac:dyDescent="0.2">
      <c r="B125">
        <v>8</v>
      </c>
      <c r="C125" t="s">
        <v>3</v>
      </c>
      <c r="D125">
        <v>0.96253449800000002</v>
      </c>
      <c r="E125" t="s">
        <v>36</v>
      </c>
      <c r="F125">
        <v>1.6000699999999999E-4</v>
      </c>
      <c r="G125">
        <v>3.23214E-4</v>
      </c>
      <c r="H125">
        <v>0.49505092000000001</v>
      </c>
      <c r="I125">
        <v>0.62159854800000003</v>
      </c>
    </row>
    <row r="126" spans="2:9" x14ac:dyDescent="0.2">
      <c r="B126">
        <v>8</v>
      </c>
      <c r="C126" t="s">
        <v>3</v>
      </c>
      <c r="D126">
        <v>0.96253449800000002</v>
      </c>
      <c r="E126" t="s">
        <v>60</v>
      </c>
      <c r="F126">
        <v>1.1181299999999999E-4</v>
      </c>
      <c r="G126" s="1">
        <v>6.6199999999999996E-5</v>
      </c>
      <c r="H126">
        <v>1.687804689</v>
      </c>
      <c r="I126">
        <v>9.4417050000000002E-2</v>
      </c>
    </row>
    <row r="127" spans="2:9" x14ac:dyDescent="0.2">
      <c r="B127">
        <v>8</v>
      </c>
      <c r="C127" t="s">
        <v>3</v>
      </c>
      <c r="D127">
        <v>0.96253449800000002</v>
      </c>
      <c r="E127" t="s">
        <v>61</v>
      </c>
      <c r="F127" s="1">
        <v>4.5600000000000004E-6</v>
      </c>
      <c r="G127">
        <v>1765.2126169999999</v>
      </c>
      <c r="H127" s="1">
        <v>2.5800000000000002E-9</v>
      </c>
      <c r="I127">
        <v>0.99999999799999995</v>
      </c>
    </row>
    <row r="128" spans="2:9" x14ac:dyDescent="0.2">
      <c r="B128">
        <v>8</v>
      </c>
      <c r="C128" t="s">
        <v>3</v>
      </c>
      <c r="D128">
        <v>0.96253449800000002</v>
      </c>
      <c r="E128" t="s">
        <v>70</v>
      </c>
      <c r="F128" s="1">
        <v>-4.5600000000000004E-6</v>
      </c>
      <c r="G128">
        <v>1765.2126169999999</v>
      </c>
      <c r="H128" s="1">
        <v>-2.5800000000000002E-9</v>
      </c>
      <c r="I128">
        <v>0.99999999799999995</v>
      </c>
    </row>
    <row r="129" spans="2:9" x14ac:dyDescent="0.2">
      <c r="B129">
        <v>8</v>
      </c>
      <c r="C129" t="s">
        <v>3</v>
      </c>
      <c r="D129">
        <v>0.96253449800000002</v>
      </c>
      <c r="E129" t="s">
        <v>63</v>
      </c>
      <c r="F129">
        <v>1.5250280999999999E-2</v>
      </c>
    </row>
    <row r="130" spans="2:9" x14ac:dyDescent="0.2">
      <c r="B130">
        <v>9</v>
      </c>
      <c r="C130" t="s">
        <v>71</v>
      </c>
      <c r="D130">
        <v>0.57607608700000001</v>
      </c>
      <c r="E130" t="s">
        <v>49</v>
      </c>
      <c r="F130">
        <v>823190977.89999998</v>
      </c>
      <c r="G130">
        <v>254545695.09999999</v>
      </c>
      <c r="H130">
        <v>3.2339614999999999</v>
      </c>
      <c r="I130">
        <v>1.6323900000000001E-3</v>
      </c>
    </row>
    <row r="131" spans="2:9" x14ac:dyDescent="0.2">
      <c r="B131">
        <v>9</v>
      </c>
      <c r="C131" t="s">
        <v>71</v>
      </c>
      <c r="D131">
        <v>0.57607608700000001</v>
      </c>
      <c r="E131" t="s">
        <v>50</v>
      </c>
      <c r="F131">
        <v>-1613987981</v>
      </c>
      <c r="G131">
        <v>264411705.09999999</v>
      </c>
      <c r="H131">
        <v>-6.1040716059999998</v>
      </c>
      <c r="I131" s="1">
        <v>1.7599999999999999E-8</v>
      </c>
    </row>
    <row r="132" spans="2:9" x14ac:dyDescent="0.2">
      <c r="B132">
        <v>9</v>
      </c>
      <c r="C132" t="s">
        <v>71</v>
      </c>
      <c r="D132">
        <v>0.57607608700000001</v>
      </c>
      <c r="E132" t="s">
        <v>51</v>
      </c>
      <c r="F132">
        <v>4653819758</v>
      </c>
      <c r="G132">
        <v>1289674221</v>
      </c>
      <c r="H132">
        <v>3.6085235199999999</v>
      </c>
      <c r="I132">
        <v>4.7346299999999998E-4</v>
      </c>
    </row>
    <row r="133" spans="2:9" x14ac:dyDescent="0.2">
      <c r="B133">
        <v>9</v>
      </c>
      <c r="C133" t="s">
        <v>71</v>
      </c>
      <c r="D133">
        <v>0.57607608700000001</v>
      </c>
      <c r="E133" t="s">
        <v>52</v>
      </c>
      <c r="F133">
        <v>150931101.59999999</v>
      </c>
      <c r="G133">
        <v>255268674.30000001</v>
      </c>
      <c r="H133">
        <v>0.59126370299999997</v>
      </c>
      <c r="I133">
        <v>0.55561448800000002</v>
      </c>
    </row>
    <row r="134" spans="2:9" x14ac:dyDescent="0.2">
      <c r="B134">
        <v>9</v>
      </c>
      <c r="C134" t="s">
        <v>71</v>
      </c>
      <c r="D134">
        <v>0.57607608700000001</v>
      </c>
      <c r="E134" t="s">
        <v>53</v>
      </c>
      <c r="F134">
        <v>1702575238</v>
      </c>
      <c r="G134">
        <v>259070747.90000001</v>
      </c>
      <c r="H134">
        <v>6.5718544139999997</v>
      </c>
      <c r="I134" s="1">
        <v>1.9599999999999998E-9</v>
      </c>
    </row>
    <row r="135" spans="2:9" x14ac:dyDescent="0.2">
      <c r="B135">
        <v>9</v>
      </c>
      <c r="C135" t="s">
        <v>71</v>
      </c>
      <c r="D135">
        <v>0.57607608700000001</v>
      </c>
      <c r="E135" t="s">
        <v>54</v>
      </c>
      <c r="F135">
        <v>686749457.29999995</v>
      </c>
      <c r="G135">
        <v>256012110.5</v>
      </c>
      <c r="H135">
        <v>2.682488169</v>
      </c>
      <c r="I135">
        <v>8.4903349999999999E-3</v>
      </c>
    </row>
    <row r="136" spans="2:9" x14ac:dyDescent="0.2">
      <c r="B136">
        <v>9</v>
      </c>
      <c r="C136" t="s">
        <v>71</v>
      </c>
      <c r="D136">
        <v>0.57607608700000001</v>
      </c>
      <c r="E136" t="s">
        <v>55</v>
      </c>
      <c r="F136">
        <v>313621369.5</v>
      </c>
      <c r="G136">
        <v>513121522.39999998</v>
      </c>
      <c r="H136">
        <v>0.61120291400000004</v>
      </c>
      <c r="I136">
        <v>0.54238621099999995</v>
      </c>
    </row>
    <row r="137" spans="2:9" x14ac:dyDescent="0.2">
      <c r="B137">
        <v>9</v>
      </c>
      <c r="C137" t="s">
        <v>71</v>
      </c>
      <c r="D137">
        <v>0.57607608700000001</v>
      </c>
      <c r="E137" t="s">
        <v>56</v>
      </c>
      <c r="F137">
        <v>-7886213020</v>
      </c>
      <c r="G137">
        <v>2586805831</v>
      </c>
      <c r="H137">
        <v>-3.0486296749999999</v>
      </c>
      <c r="I137">
        <v>2.9091870000000001E-3</v>
      </c>
    </row>
    <row r="138" spans="2:9" x14ac:dyDescent="0.2">
      <c r="B138">
        <v>9</v>
      </c>
      <c r="C138" t="s">
        <v>71</v>
      </c>
      <c r="D138">
        <v>0.57607608700000001</v>
      </c>
      <c r="E138" t="s">
        <v>57</v>
      </c>
      <c r="F138">
        <v>109366913.59999999</v>
      </c>
    </row>
    <row r="139" spans="2:9" x14ac:dyDescent="0.2">
      <c r="B139">
        <v>9</v>
      </c>
      <c r="C139" t="s">
        <v>71</v>
      </c>
      <c r="D139">
        <v>0.57607608700000001</v>
      </c>
      <c r="E139" t="s">
        <v>58</v>
      </c>
      <c r="F139">
        <v>-104987127.7</v>
      </c>
    </row>
    <row r="140" spans="2:9" x14ac:dyDescent="0.2">
      <c r="B140">
        <v>9</v>
      </c>
      <c r="C140" t="s">
        <v>71</v>
      </c>
      <c r="D140">
        <v>0.57607608700000001</v>
      </c>
      <c r="E140" t="s">
        <v>59</v>
      </c>
      <c r="F140">
        <v>-4379785.9170000004</v>
      </c>
    </row>
    <row r="141" spans="2:9" x14ac:dyDescent="0.2">
      <c r="B141">
        <v>9</v>
      </c>
      <c r="C141" t="s">
        <v>71</v>
      </c>
      <c r="D141">
        <v>0.57607608700000001</v>
      </c>
      <c r="E141" t="s">
        <v>36</v>
      </c>
      <c r="F141">
        <v>-1720585615</v>
      </c>
      <c r="G141">
        <v>828532491</v>
      </c>
      <c r="H141">
        <v>-2.076666436</v>
      </c>
      <c r="I141">
        <v>4.0273517000000002E-2</v>
      </c>
    </row>
    <row r="142" spans="2:9" x14ac:dyDescent="0.2">
      <c r="B142">
        <v>9</v>
      </c>
      <c r="C142" t="s">
        <v>71</v>
      </c>
      <c r="D142">
        <v>0.57607608700000001</v>
      </c>
      <c r="E142" t="s">
        <v>60</v>
      </c>
      <c r="F142">
        <v>-354821965.19999999</v>
      </c>
      <c r="G142">
        <v>169820862.19999999</v>
      </c>
      <c r="H142">
        <v>-2.0893897290000001</v>
      </c>
      <c r="I142">
        <v>3.9089204000000002E-2</v>
      </c>
    </row>
    <row r="143" spans="2:9" x14ac:dyDescent="0.2">
      <c r="B143">
        <v>9</v>
      </c>
      <c r="C143" t="s">
        <v>71</v>
      </c>
      <c r="D143">
        <v>0.57607608700000001</v>
      </c>
      <c r="E143" t="s">
        <v>61</v>
      </c>
      <c r="F143">
        <v>-20721409.420000002</v>
      </c>
      <c r="G143" s="1">
        <v>4524970000000000</v>
      </c>
      <c r="H143" s="1">
        <v>-4.5800000000000003E-9</v>
      </c>
      <c r="I143">
        <v>0.999999996</v>
      </c>
    </row>
    <row r="144" spans="2:9" x14ac:dyDescent="0.2">
      <c r="B144">
        <v>9</v>
      </c>
      <c r="C144" t="s">
        <v>71</v>
      </c>
      <c r="D144">
        <v>0.57607608700000001</v>
      </c>
      <c r="E144" t="s">
        <v>70</v>
      </c>
      <c r="F144">
        <v>20721409.420000002</v>
      </c>
      <c r="G144" s="1">
        <v>4524970000000000</v>
      </c>
      <c r="H144" s="1">
        <v>4.5800000000000003E-9</v>
      </c>
      <c r="I144">
        <v>0.999999996</v>
      </c>
    </row>
    <row r="145" spans="2:9" x14ac:dyDescent="0.2">
      <c r="B145">
        <v>9</v>
      </c>
      <c r="C145" t="s">
        <v>71</v>
      </c>
      <c r="D145">
        <v>0.57607608700000001</v>
      </c>
      <c r="E145" t="s">
        <v>63</v>
      </c>
      <c r="F145">
        <v>11061267956</v>
      </c>
    </row>
    <row r="146" spans="2:9" x14ac:dyDescent="0.2">
      <c r="B146">
        <v>10</v>
      </c>
      <c r="C146" t="s">
        <v>22</v>
      </c>
      <c r="D146">
        <v>0.84707468100000005</v>
      </c>
      <c r="E146" t="s">
        <v>49</v>
      </c>
      <c r="F146">
        <v>35580.754410000001</v>
      </c>
      <c r="G146">
        <v>2692.5065719999998</v>
      </c>
      <c r="H146">
        <v>13.21473261</v>
      </c>
      <c r="I146">
        <v>0</v>
      </c>
    </row>
    <row r="147" spans="2:9" x14ac:dyDescent="0.2">
      <c r="B147">
        <v>10</v>
      </c>
      <c r="C147" t="s">
        <v>22</v>
      </c>
      <c r="D147">
        <v>0.84707468100000005</v>
      </c>
      <c r="E147" t="s">
        <v>50</v>
      </c>
      <c r="F147">
        <v>-6813.1317779999999</v>
      </c>
      <c r="G147">
        <v>2796.8662100000001</v>
      </c>
      <c r="H147">
        <v>-2.4359877320000001</v>
      </c>
      <c r="I147">
        <v>1.6534511000000002E-2</v>
      </c>
    </row>
    <row r="148" spans="2:9" x14ac:dyDescent="0.2">
      <c r="B148">
        <v>10</v>
      </c>
      <c r="C148" t="s">
        <v>22</v>
      </c>
      <c r="D148">
        <v>0.84707468100000005</v>
      </c>
      <c r="E148" t="s">
        <v>51</v>
      </c>
      <c r="F148">
        <v>-63170.362609999996</v>
      </c>
      <c r="G148">
        <v>13641.779769999999</v>
      </c>
      <c r="H148">
        <v>-4.6306540399999996</v>
      </c>
      <c r="I148" s="1">
        <v>1.0499999999999999E-5</v>
      </c>
    </row>
    <row r="149" spans="2:9" x14ac:dyDescent="0.2">
      <c r="B149">
        <v>10</v>
      </c>
      <c r="C149" t="s">
        <v>22</v>
      </c>
      <c r="D149">
        <v>0.84707468100000005</v>
      </c>
      <c r="E149" t="s">
        <v>52</v>
      </c>
      <c r="F149">
        <v>17920.872950000001</v>
      </c>
      <c r="G149">
        <v>2700.1540249999998</v>
      </c>
      <c r="H149">
        <v>6.6369817380000002</v>
      </c>
      <c r="I149" s="1">
        <v>1.44E-9</v>
      </c>
    </row>
    <row r="150" spans="2:9" x14ac:dyDescent="0.2">
      <c r="B150">
        <v>10</v>
      </c>
      <c r="C150" t="s">
        <v>22</v>
      </c>
      <c r="D150">
        <v>0.84707468100000005</v>
      </c>
      <c r="E150" t="s">
        <v>53</v>
      </c>
      <c r="F150">
        <v>52250.860509999999</v>
      </c>
      <c r="G150">
        <v>2740.3711969999999</v>
      </c>
      <c r="H150">
        <v>19.067074040000001</v>
      </c>
      <c r="I150">
        <v>0</v>
      </c>
    </row>
    <row r="151" spans="2:9" x14ac:dyDescent="0.2">
      <c r="B151">
        <v>10</v>
      </c>
      <c r="C151" t="s">
        <v>22</v>
      </c>
      <c r="D151">
        <v>0.84707468100000005</v>
      </c>
      <c r="E151" t="s">
        <v>54</v>
      </c>
      <c r="F151">
        <v>-2337.0985660000001</v>
      </c>
      <c r="G151">
        <v>2708.0178660000001</v>
      </c>
      <c r="H151">
        <v>-0.86302922699999995</v>
      </c>
      <c r="I151">
        <v>0.39008838899999998</v>
      </c>
    </row>
    <row r="152" spans="2:9" x14ac:dyDescent="0.2">
      <c r="B152">
        <v>10</v>
      </c>
      <c r="C152" t="s">
        <v>22</v>
      </c>
      <c r="D152">
        <v>0.84707468100000005</v>
      </c>
      <c r="E152" t="s">
        <v>55</v>
      </c>
      <c r="F152">
        <v>-1021.759714</v>
      </c>
      <c r="G152">
        <v>5427.6426510000001</v>
      </c>
      <c r="H152">
        <v>-0.188251103</v>
      </c>
      <c r="I152">
        <v>0.85104316099999999</v>
      </c>
    </row>
    <row r="153" spans="2:9" x14ac:dyDescent="0.2">
      <c r="B153">
        <v>10</v>
      </c>
      <c r="C153" t="s">
        <v>22</v>
      </c>
      <c r="D153">
        <v>0.84707468100000005</v>
      </c>
      <c r="E153" t="s">
        <v>56</v>
      </c>
      <c r="F153">
        <v>-12720.026760000001</v>
      </c>
      <c r="G153">
        <v>27362.44154</v>
      </c>
      <c r="H153">
        <v>-0.46487177499999999</v>
      </c>
      <c r="I153">
        <v>0.64298587699999998</v>
      </c>
    </row>
    <row r="154" spans="2:9" x14ac:dyDescent="0.2">
      <c r="B154">
        <v>10</v>
      </c>
      <c r="C154" t="s">
        <v>22</v>
      </c>
      <c r="D154">
        <v>0.84707468100000005</v>
      </c>
      <c r="E154" t="s">
        <v>57</v>
      </c>
      <c r="F154">
        <v>1981.5734629999999</v>
      </c>
    </row>
    <row r="155" spans="2:9" x14ac:dyDescent="0.2">
      <c r="B155">
        <v>10</v>
      </c>
      <c r="C155" t="s">
        <v>22</v>
      </c>
      <c r="D155">
        <v>0.84707468100000005</v>
      </c>
      <c r="E155" t="s">
        <v>58</v>
      </c>
      <c r="F155">
        <v>-1281.8189179999999</v>
      </c>
    </row>
    <row r="156" spans="2:9" x14ac:dyDescent="0.2">
      <c r="B156">
        <v>10</v>
      </c>
      <c r="C156" t="s">
        <v>22</v>
      </c>
      <c r="D156">
        <v>0.84707468100000005</v>
      </c>
      <c r="E156" t="s">
        <v>59</v>
      </c>
      <c r="F156">
        <v>-699.7545447</v>
      </c>
    </row>
    <row r="157" spans="2:9" x14ac:dyDescent="0.2">
      <c r="B157">
        <v>10</v>
      </c>
      <c r="C157" t="s">
        <v>22</v>
      </c>
      <c r="D157">
        <v>0.84707468100000005</v>
      </c>
      <c r="E157" t="s">
        <v>36</v>
      </c>
      <c r="F157">
        <v>8498.0708090000007</v>
      </c>
      <c r="G157">
        <v>8763.9634850000002</v>
      </c>
      <c r="H157">
        <v>0.969660682</v>
      </c>
      <c r="I157">
        <v>0.334443989</v>
      </c>
    </row>
    <row r="158" spans="2:9" x14ac:dyDescent="0.2">
      <c r="B158">
        <v>10</v>
      </c>
      <c r="C158" t="s">
        <v>22</v>
      </c>
      <c r="D158">
        <v>0.84707468100000005</v>
      </c>
      <c r="E158" t="s">
        <v>60</v>
      </c>
      <c r="F158">
        <v>3626.2267860000002</v>
      </c>
      <c r="G158">
        <v>1796.3131820000001</v>
      </c>
      <c r="H158">
        <v>2.0187052140000001</v>
      </c>
      <c r="I158">
        <v>4.6066925000000002E-2</v>
      </c>
    </row>
    <row r="159" spans="2:9" x14ac:dyDescent="0.2">
      <c r="B159">
        <v>10</v>
      </c>
      <c r="C159" t="s">
        <v>22</v>
      </c>
      <c r="D159">
        <v>0.84707468100000005</v>
      </c>
      <c r="E159" t="s">
        <v>61</v>
      </c>
      <c r="F159">
        <v>-1479.2313899999999</v>
      </c>
      <c r="G159">
        <v>47863800452</v>
      </c>
      <c r="H159" s="1">
        <v>-3.0899999999999999E-8</v>
      </c>
      <c r="I159">
        <v>0.99999997500000004</v>
      </c>
    </row>
    <row r="160" spans="2:9" x14ac:dyDescent="0.2">
      <c r="B160">
        <v>10</v>
      </c>
      <c r="C160" t="s">
        <v>22</v>
      </c>
      <c r="D160">
        <v>0.84707468100000005</v>
      </c>
      <c r="E160" t="s">
        <v>70</v>
      </c>
      <c r="F160">
        <v>1479.2313899999999</v>
      </c>
      <c r="G160">
        <v>47863800452</v>
      </c>
      <c r="H160" s="1">
        <v>3.0899999999999999E-8</v>
      </c>
      <c r="I160">
        <v>0.99999997500000004</v>
      </c>
    </row>
    <row r="161" spans="2:9" x14ac:dyDescent="0.2">
      <c r="B161">
        <v>10</v>
      </c>
      <c r="C161" t="s">
        <v>22</v>
      </c>
      <c r="D161">
        <v>0.84707468100000005</v>
      </c>
      <c r="E161" t="s">
        <v>63</v>
      </c>
      <c r="F161">
        <v>358487.98190000001</v>
      </c>
    </row>
    <row r="162" spans="2:9" x14ac:dyDescent="0.2">
      <c r="B162">
        <v>11</v>
      </c>
      <c r="C162" t="s">
        <v>23</v>
      </c>
      <c r="D162">
        <v>0.85712328000000004</v>
      </c>
      <c r="E162" t="s">
        <v>49</v>
      </c>
      <c r="F162">
        <v>113332.2362</v>
      </c>
      <c r="G162">
        <v>5049.3314849999997</v>
      </c>
      <c r="H162">
        <v>22.444998219999999</v>
      </c>
      <c r="I162">
        <v>0</v>
      </c>
    </row>
    <row r="163" spans="2:9" x14ac:dyDescent="0.2">
      <c r="B163">
        <v>11</v>
      </c>
      <c r="C163" t="s">
        <v>23</v>
      </c>
      <c r="D163">
        <v>0.85712328000000004</v>
      </c>
      <c r="E163" t="s">
        <v>50</v>
      </c>
      <c r="F163">
        <v>-16944.34404</v>
      </c>
      <c r="G163">
        <v>5245.0399790000001</v>
      </c>
      <c r="H163">
        <v>-3.2305462130000002</v>
      </c>
      <c r="I163">
        <v>1.650213E-3</v>
      </c>
    </row>
    <row r="164" spans="2:9" x14ac:dyDescent="0.2">
      <c r="B164">
        <v>11</v>
      </c>
      <c r="C164" t="s">
        <v>23</v>
      </c>
      <c r="D164">
        <v>0.85712328000000004</v>
      </c>
      <c r="E164" t="s">
        <v>51</v>
      </c>
      <c r="F164">
        <v>-71793.882740000001</v>
      </c>
      <c r="G164">
        <v>25582.804080000002</v>
      </c>
      <c r="H164">
        <v>-2.8063336030000001</v>
      </c>
      <c r="I164">
        <v>5.9734840000000003E-3</v>
      </c>
    </row>
    <row r="165" spans="2:9" x14ac:dyDescent="0.2">
      <c r="B165">
        <v>11</v>
      </c>
      <c r="C165" t="s">
        <v>23</v>
      </c>
      <c r="D165">
        <v>0.85712328000000004</v>
      </c>
      <c r="E165" t="s">
        <v>52</v>
      </c>
      <c r="F165">
        <v>17242.657589999999</v>
      </c>
      <c r="G165">
        <v>5063.6729619999996</v>
      </c>
      <c r="H165">
        <v>3.405168089</v>
      </c>
      <c r="I165">
        <v>9.3770699999999997E-4</v>
      </c>
    </row>
    <row r="166" spans="2:9" x14ac:dyDescent="0.2">
      <c r="B166">
        <v>11</v>
      </c>
      <c r="C166" t="s">
        <v>23</v>
      </c>
      <c r="D166">
        <v>0.85712328000000004</v>
      </c>
      <c r="E166" t="s">
        <v>53</v>
      </c>
      <c r="F166">
        <v>-17672.488369999999</v>
      </c>
      <c r="G166">
        <v>5139.0933299999997</v>
      </c>
      <c r="H166">
        <v>-3.4388339019999998</v>
      </c>
      <c r="I166">
        <v>8.3894999999999998E-4</v>
      </c>
    </row>
    <row r="167" spans="2:9" x14ac:dyDescent="0.2">
      <c r="B167">
        <v>11</v>
      </c>
      <c r="C167" t="s">
        <v>23</v>
      </c>
      <c r="D167">
        <v>0.85712328000000004</v>
      </c>
      <c r="E167" t="s">
        <v>54</v>
      </c>
      <c r="F167">
        <v>-6426.4779099999996</v>
      </c>
      <c r="G167">
        <v>5078.420239</v>
      </c>
      <c r="H167">
        <v>-1.2654482309999999</v>
      </c>
      <c r="I167">
        <v>0.20851160799999999</v>
      </c>
    </row>
    <row r="168" spans="2:9" x14ac:dyDescent="0.2">
      <c r="B168">
        <v>11</v>
      </c>
      <c r="C168" t="s">
        <v>23</v>
      </c>
      <c r="D168">
        <v>0.85712328000000004</v>
      </c>
      <c r="E168" t="s">
        <v>55</v>
      </c>
      <c r="F168">
        <v>-4782.5590499999998</v>
      </c>
      <c r="G168">
        <v>10178.607249999999</v>
      </c>
      <c r="H168">
        <v>-0.46986379700000003</v>
      </c>
      <c r="I168">
        <v>0.63942671200000001</v>
      </c>
    </row>
    <row r="169" spans="2:9" x14ac:dyDescent="0.2">
      <c r="B169">
        <v>11</v>
      </c>
      <c r="C169" t="s">
        <v>23</v>
      </c>
      <c r="D169">
        <v>0.85712328000000004</v>
      </c>
      <c r="E169" t="s">
        <v>56</v>
      </c>
      <c r="F169">
        <v>27430.38133</v>
      </c>
      <c r="G169">
        <v>51313.537709999997</v>
      </c>
      <c r="H169">
        <v>0.53456422100000001</v>
      </c>
      <c r="I169">
        <v>0.59408137000000005</v>
      </c>
    </row>
    <row r="170" spans="2:9" x14ac:dyDescent="0.2">
      <c r="B170">
        <v>11</v>
      </c>
      <c r="C170" t="s">
        <v>23</v>
      </c>
      <c r="D170">
        <v>0.85712328000000004</v>
      </c>
      <c r="E170" t="s">
        <v>57</v>
      </c>
      <c r="F170">
        <v>2843.3764369999999</v>
      </c>
    </row>
    <row r="171" spans="2:9" x14ac:dyDescent="0.2">
      <c r="B171">
        <v>11</v>
      </c>
      <c r="C171" t="s">
        <v>23</v>
      </c>
      <c r="D171">
        <v>0.85712328000000004</v>
      </c>
      <c r="E171" t="s">
        <v>58</v>
      </c>
      <c r="F171">
        <v>-5237.3939449999998</v>
      </c>
    </row>
    <row r="172" spans="2:9" x14ac:dyDescent="0.2">
      <c r="B172">
        <v>11</v>
      </c>
      <c r="C172" t="s">
        <v>23</v>
      </c>
      <c r="D172">
        <v>0.85712328000000004</v>
      </c>
      <c r="E172" t="s">
        <v>59</v>
      </c>
      <c r="F172">
        <v>2394.0175089999998</v>
      </c>
    </row>
    <row r="173" spans="2:9" x14ac:dyDescent="0.2">
      <c r="B173">
        <v>11</v>
      </c>
      <c r="C173" t="s">
        <v>23</v>
      </c>
      <c r="D173">
        <v>0.85712328000000004</v>
      </c>
      <c r="E173" t="s">
        <v>36</v>
      </c>
      <c r="F173">
        <v>80920.711240000004</v>
      </c>
      <c r="G173">
        <v>16435.301299999999</v>
      </c>
      <c r="H173">
        <v>4.9235915910000001</v>
      </c>
      <c r="I173" s="1">
        <v>3.1700000000000001E-6</v>
      </c>
    </row>
    <row r="174" spans="2:9" x14ac:dyDescent="0.2">
      <c r="B174">
        <v>11</v>
      </c>
      <c r="C174" t="s">
        <v>23</v>
      </c>
      <c r="D174">
        <v>0.85712328000000004</v>
      </c>
      <c r="E174" t="s">
        <v>60</v>
      </c>
      <c r="F174">
        <v>6246.2759980000001</v>
      </c>
      <c r="G174">
        <v>3368.6754190000001</v>
      </c>
      <c r="H174">
        <v>1.8542231650000001</v>
      </c>
      <c r="I174">
        <v>6.6513753999999994E-2</v>
      </c>
    </row>
    <row r="175" spans="2:9" x14ac:dyDescent="0.2">
      <c r="B175">
        <v>11</v>
      </c>
      <c r="C175" t="s">
        <v>23</v>
      </c>
      <c r="D175">
        <v>0.85712328000000004</v>
      </c>
      <c r="E175" t="s">
        <v>61</v>
      </c>
      <c r="F175">
        <v>-1097.1063690000001</v>
      </c>
      <c r="G175">
        <v>89760298853</v>
      </c>
      <c r="H175" s="1">
        <v>-1.22E-8</v>
      </c>
      <c r="I175">
        <v>0.99999998999999995</v>
      </c>
    </row>
    <row r="176" spans="2:9" x14ac:dyDescent="0.2">
      <c r="B176">
        <v>11</v>
      </c>
      <c r="C176" t="s">
        <v>23</v>
      </c>
      <c r="D176">
        <v>0.85712328000000004</v>
      </c>
      <c r="E176" t="s">
        <v>70</v>
      </c>
      <c r="F176">
        <v>1097.1063690000001</v>
      </c>
      <c r="G176">
        <v>89760298853</v>
      </c>
      <c r="H176" s="1">
        <v>1.22E-8</v>
      </c>
      <c r="I176">
        <v>0.99999998999999995</v>
      </c>
    </row>
    <row r="177" spans="2:9" x14ac:dyDescent="0.2">
      <c r="B177">
        <v>11</v>
      </c>
      <c r="C177" t="s">
        <v>23</v>
      </c>
      <c r="D177">
        <v>0.85712328000000004</v>
      </c>
      <c r="E177" t="s">
        <v>63</v>
      </c>
      <c r="F177">
        <v>150555.85370000001</v>
      </c>
    </row>
    <row r="178" spans="2:9" x14ac:dyDescent="0.2">
      <c r="B178">
        <v>12</v>
      </c>
      <c r="C178" t="s">
        <v>24</v>
      </c>
      <c r="D178">
        <v>0.96106712299999997</v>
      </c>
      <c r="E178" t="s">
        <v>49</v>
      </c>
      <c r="F178">
        <v>2797.3870240000001</v>
      </c>
      <c r="G178">
        <v>2600.7057570000002</v>
      </c>
      <c r="H178">
        <v>1.075626113</v>
      </c>
      <c r="I178">
        <v>0.28455986999999999</v>
      </c>
    </row>
    <row r="179" spans="2:9" x14ac:dyDescent="0.2">
      <c r="B179">
        <v>12</v>
      </c>
      <c r="C179" t="s">
        <v>24</v>
      </c>
      <c r="D179">
        <v>0.96106712299999997</v>
      </c>
      <c r="E179" t="s">
        <v>50</v>
      </c>
      <c r="F179">
        <v>-2242.3604909999999</v>
      </c>
      <c r="G179">
        <v>2701.5072599999999</v>
      </c>
      <c r="H179">
        <v>-0.83004051999999995</v>
      </c>
      <c r="I179">
        <v>0.40839910600000001</v>
      </c>
    </row>
    <row r="180" spans="2:9" x14ac:dyDescent="0.2">
      <c r="B180">
        <v>12</v>
      </c>
      <c r="C180" t="s">
        <v>24</v>
      </c>
      <c r="D180">
        <v>0.96106712299999997</v>
      </c>
      <c r="E180" t="s">
        <v>51</v>
      </c>
      <c r="F180">
        <v>-11737.4884</v>
      </c>
      <c r="G180">
        <v>13176.664280000001</v>
      </c>
      <c r="H180">
        <v>-0.89077843599999995</v>
      </c>
      <c r="I180">
        <v>0.37508463199999997</v>
      </c>
    </row>
    <row r="181" spans="2:9" x14ac:dyDescent="0.2">
      <c r="B181">
        <v>12</v>
      </c>
      <c r="C181" t="s">
        <v>24</v>
      </c>
      <c r="D181">
        <v>0.96106712299999997</v>
      </c>
      <c r="E181" t="s">
        <v>52</v>
      </c>
      <c r="F181">
        <v>21164.52579</v>
      </c>
      <c r="G181">
        <v>2608.09247</v>
      </c>
      <c r="H181">
        <v>8.1149445539999991</v>
      </c>
      <c r="I181" s="1">
        <v>9.7899999999999997E-13</v>
      </c>
    </row>
    <row r="182" spans="2:9" x14ac:dyDescent="0.2">
      <c r="B182">
        <v>12</v>
      </c>
      <c r="C182" t="s">
        <v>24</v>
      </c>
      <c r="D182">
        <v>0.96106712299999997</v>
      </c>
      <c r="E182" t="s">
        <v>53</v>
      </c>
      <c r="F182">
        <v>8043.7934660000001</v>
      </c>
      <c r="G182">
        <v>2646.9384409999998</v>
      </c>
      <c r="H182">
        <v>3.0389046240000002</v>
      </c>
      <c r="I182">
        <v>2.9967940000000001E-3</v>
      </c>
    </row>
    <row r="183" spans="2:9" x14ac:dyDescent="0.2">
      <c r="B183">
        <v>12</v>
      </c>
      <c r="C183" t="s">
        <v>24</v>
      </c>
      <c r="D183">
        <v>0.96106712299999997</v>
      </c>
      <c r="E183" t="s">
        <v>54</v>
      </c>
      <c r="F183">
        <v>-555.24215830000003</v>
      </c>
      <c r="G183">
        <v>2615.688193</v>
      </c>
      <c r="H183">
        <v>-0.212273833</v>
      </c>
      <c r="I183">
        <v>0.83230493999999999</v>
      </c>
    </row>
    <row r="184" spans="2:9" x14ac:dyDescent="0.2">
      <c r="B184">
        <v>12</v>
      </c>
      <c r="C184" t="s">
        <v>24</v>
      </c>
      <c r="D184">
        <v>0.96106712299999997</v>
      </c>
      <c r="E184" t="s">
        <v>55</v>
      </c>
      <c r="F184">
        <v>-361.70355030000002</v>
      </c>
      <c r="G184">
        <v>5242.5875699999997</v>
      </c>
      <c r="H184">
        <v>-6.8993324999999994E-2</v>
      </c>
      <c r="I184">
        <v>0.94512615300000002</v>
      </c>
    </row>
    <row r="185" spans="2:9" x14ac:dyDescent="0.2">
      <c r="B185">
        <v>12</v>
      </c>
      <c r="C185" s="1" t="s">
        <v>24</v>
      </c>
      <c r="D185">
        <v>0.96106712299999997</v>
      </c>
      <c r="E185" t="s">
        <v>56</v>
      </c>
      <c r="F185">
        <v>17719.675749999999</v>
      </c>
      <c r="G185">
        <v>26429.521079999999</v>
      </c>
      <c r="H185">
        <v>0.67045012599999998</v>
      </c>
      <c r="I185">
        <v>0.504042875</v>
      </c>
    </row>
    <row r="186" spans="2:9" x14ac:dyDescent="0.2">
      <c r="B186">
        <v>12</v>
      </c>
      <c r="C186" t="s">
        <v>24</v>
      </c>
      <c r="D186">
        <v>0.96106712299999997</v>
      </c>
      <c r="E186" t="s">
        <v>57</v>
      </c>
      <c r="F186">
        <v>1074.9925639999999</v>
      </c>
    </row>
    <row r="187" spans="2:9" x14ac:dyDescent="0.2">
      <c r="B187">
        <v>12</v>
      </c>
      <c r="C187" t="s">
        <v>24</v>
      </c>
      <c r="D187">
        <v>0.96106712299999997</v>
      </c>
      <c r="E187" t="s">
        <v>58</v>
      </c>
      <c r="F187">
        <v>493.02319419999998</v>
      </c>
    </row>
    <row r="188" spans="2:9" x14ac:dyDescent="0.2">
      <c r="B188">
        <v>12</v>
      </c>
      <c r="C188" t="s">
        <v>24</v>
      </c>
      <c r="D188">
        <v>0.96106712299999997</v>
      </c>
      <c r="E188" t="s">
        <v>59</v>
      </c>
      <c r="F188">
        <v>-1568.015758</v>
      </c>
    </row>
    <row r="189" spans="2:9" x14ac:dyDescent="0.2">
      <c r="B189">
        <v>12</v>
      </c>
      <c r="C189" t="s">
        <v>24</v>
      </c>
      <c r="D189">
        <v>0.96106712299999997</v>
      </c>
      <c r="E189" t="s">
        <v>36</v>
      </c>
      <c r="F189">
        <v>5562.6942559999998</v>
      </c>
      <c r="G189">
        <v>8465.1567880000002</v>
      </c>
      <c r="H189">
        <v>0.65712831999999999</v>
      </c>
      <c r="I189">
        <v>0.512536239</v>
      </c>
    </row>
    <row r="190" spans="2:9" x14ac:dyDescent="0.2">
      <c r="B190">
        <v>12</v>
      </c>
      <c r="C190" t="s">
        <v>24</v>
      </c>
      <c r="D190">
        <v>0.96106712299999997</v>
      </c>
      <c r="E190" t="s">
        <v>60</v>
      </c>
      <c r="F190">
        <v>-81820.760110000003</v>
      </c>
      <c r="G190">
        <v>1735.0680150000001</v>
      </c>
      <c r="H190">
        <v>-47.157090920000002</v>
      </c>
      <c r="I190">
        <v>0</v>
      </c>
    </row>
    <row r="191" spans="2:9" x14ac:dyDescent="0.2">
      <c r="B191">
        <v>12</v>
      </c>
      <c r="C191" t="s">
        <v>24</v>
      </c>
      <c r="D191">
        <v>0.96106712299999997</v>
      </c>
      <c r="E191" t="s">
        <v>61</v>
      </c>
      <c r="F191">
        <v>1157.625659</v>
      </c>
      <c r="G191">
        <v>46231887658</v>
      </c>
      <c r="H191" s="1">
        <v>2.4999999999999999E-8</v>
      </c>
      <c r="I191">
        <v>0.99999998000000001</v>
      </c>
    </row>
    <row r="192" spans="2:9" x14ac:dyDescent="0.2">
      <c r="B192">
        <v>12</v>
      </c>
      <c r="C192" t="s">
        <v>24</v>
      </c>
      <c r="D192">
        <v>0.96106712299999997</v>
      </c>
      <c r="E192" t="s">
        <v>70</v>
      </c>
      <c r="F192">
        <v>-1157.625659</v>
      </c>
      <c r="G192">
        <v>46231887658</v>
      </c>
      <c r="H192" s="1">
        <v>-2.4999999999999999E-8</v>
      </c>
      <c r="I192">
        <v>0.99999998000000001</v>
      </c>
    </row>
    <row r="193" spans="2:9" x14ac:dyDescent="0.2">
      <c r="B193">
        <v>12</v>
      </c>
      <c r="C193" t="s">
        <v>24</v>
      </c>
      <c r="D193">
        <v>0.96106712299999997</v>
      </c>
      <c r="E193" t="s">
        <v>63</v>
      </c>
      <c r="F193">
        <v>197589.10860000001</v>
      </c>
    </row>
    <row r="194" spans="2:9" x14ac:dyDescent="0.2">
      <c r="B194">
        <v>13</v>
      </c>
      <c r="C194" t="s">
        <v>25</v>
      </c>
      <c r="D194">
        <v>0.94406579999999996</v>
      </c>
      <c r="E194" t="s">
        <v>49</v>
      </c>
      <c r="F194">
        <v>7080.4992629999997</v>
      </c>
      <c r="G194">
        <v>910.22777919999999</v>
      </c>
      <c r="H194">
        <v>7.7788213300000004</v>
      </c>
      <c r="I194" s="1">
        <v>5.3199999999999999E-12</v>
      </c>
    </row>
    <row r="195" spans="2:9" x14ac:dyDescent="0.2">
      <c r="B195">
        <v>13</v>
      </c>
      <c r="C195" s="1" t="s">
        <v>25</v>
      </c>
      <c r="D195">
        <v>0.94406579999999996</v>
      </c>
      <c r="E195" t="s">
        <v>50</v>
      </c>
      <c r="F195">
        <v>-2121.1523510000002</v>
      </c>
      <c r="G195">
        <v>945.50755990000005</v>
      </c>
      <c r="H195">
        <v>-2.2434007309999999</v>
      </c>
      <c r="I195">
        <v>2.6970650999999998E-2</v>
      </c>
    </row>
    <row r="196" spans="2:9" x14ac:dyDescent="0.2">
      <c r="B196">
        <v>13</v>
      </c>
      <c r="C196" t="s">
        <v>25</v>
      </c>
      <c r="D196">
        <v>0.94406579999999996</v>
      </c>
      <c r="E196" t="s">
        <v>51</v>
      </c>
      <c r="F196">
        <v>-9244.8467820000005</v>
      </c>
      <c r="G196">
        <v>4611.7350399999996</v>
      </c>
      <c r="H196">
        <v>-2.0046352839999999</v>
      </c>
      <c r="I196">
        <v>4.7576146E-2</v>
      </c>
    </row>
    <row r="197" spans="2:9" x14ac:dyDescent="0.2">
      <c r="B197">
        <v>13</v>
      </c>
      <c r="C197" t="s">
        <v>25</v>
      </c>
      <c r="D197">
        <v>0.94406579999999996</v>
      </c>
      <c r="E197" t="s">
        <v>52</v>
      </c>
      <c r="F197">
        <v>6954.2150350000002</v>
      </c>
      <c r="G197">
        <v>912.81307419999996</v>
      </c>
      <c r="H197">
        <v>7.6184437230000004</v>
      </c>
      <c r="I197" s="1">
        <v>1.1900000000000001E-11</v>
      </c>
    </row>
    <row r="198" spans="2:9" x14ac:dyDescent="0.2">
      <c r="B198">
        <v>13</v>
      </c>
      <c r="C198" t="s">
        <v>25</v>
      </c>
      <c r="D198">
        <v>0.94406579999999996</v>
      </c>
      <c r="E198" t="s">
        <v>53</v>
      </c>
      <c r="F198">
        <v>-2725.3842540000001</v>
      </c>
      <c r="G198">
        <v>926.40887659999999</v>
      </c>
      <c r="H198">
        <v>-2.9418805479999999</v>
      </c>
      <c r="I198">
        <v>4.0146069999999999E-3</v>
      </c>
    </row>
    <row r="199" spans="2:9" x14ac:dyDescent="0.2">
      <c r="B199">
        <v>13</v>
      </c>
      <c r="C199" t="s">
        <v>25</v>
      </c>
      <c r="D199">
        <v>0.94406579999999996</v>
      </c>
      <c r="E199" t="s">
        <v>54</v>
      </c>
      <c r="F199">
        <v>-868.46772629999998</v>
      </c>
      <c r="G199">
        <v>915.47152119999998</v>
      </c>
      <c r="H199">
        <v>-0.94865619099999998</v>
      </c>
      <c r="I199">
        <v>0.34497381799999999</v>
      </c>
    </row>
    <row r="200" spans="2:9" x14ac:dyDescent="0.2">
      <c r="B200">
        <v>13</v>
      </c>
      <c r="C200" t="s">
        <v>25</v>
      </c>
      <c r="D200">
        <v>0.94406579999999996</v>
      </c>
      <c r="E200" t="s">
        <v>55</v>
      </c>
      <c r="F200">
        <v>-218.55118450000001</v>
      </c>
      <c r="G200">
        <v>1834.8668729999999</v>
      </c>
      <c r="H200">
        <v>-0.11911010399999999</v>
      </c>
      <c r="I200">
        <v>0.90541571300000001</v>
      </c>
    </row>
    <row r="201" spans="2:9" x14ac:dyDescent="0.2">
      <c r="B201">
        <v>13</v>
      </c>
      <c r="C201" t="s">
        <v>25</v>
      </c>
      <c r="D201">
        <v>0.94406579999999996</v>
      </c>
      <c r="E201" t="s">
        <v>56</v>
      </c>
      <c r="F201">
        <v>5649.7169839999997</v>
      </c>
      <c r="G201">
        <v>9250.1368970000003</v>
      </c>
      <c r="H201">
        <v>0.610771175</v>
      </c>
      <c r="I201">
        <v>0.54267094400000004</v>
      </c>
    </row>
    <row r="202" spans="2:9" x14ac:dyDescent="0.2">
      <c r="B202">
        <v>13</v>
      </c>
      <c r="C202" t="s">
        <v>25</v>
      </c>
      <c r="D202">
        <v>0.94406579999999996</v>
      </c>
      <c r="E202" t="s">
        <v>57</v>
      </c>
      <c r="F202">
        <v>22.446909510000001</v>
      </c>
    </row>
    <row r="203" spans="2:9" x14ac:dyDescent="0.2">
      <c r="B203">
        <v>13</v>
      </c>
      <c r="C203" t="s">
        <v>25</v>
      </c>
      <c r="D203">
        <v>0.94406579999999996</v>
      </c>
      <c r="E203" t="s">
        <v>58</v>
      </c>
      <c r="F203">
        <v>216.10959800000001</v>
      </c>
    </row>
    <row r="204" spans="2:9" x14ac:dyDescent="0.2">
      <c r="B204">
        <v>13</v>
      </c>
      <c r="C204" t="s">
        <v>25</v>
      </c>
      <c r="D204">
        <v>0.94406579999999996</v>
      </c>
      <c r="E204" t="s">
        <v>59</v>
      </c>
      <c r="F204">
        <v>-238.55650750000001</v>
      </c>
    </row>
    <row r="205" spans="2:9" x14ac:dyDescent="0.2">
      <c r="B205">
        <v>13</v>
      </c>
      <c r="C205" t="s">
        <v>25</v>
      </c>
      <c r="D205">
        <v>0.94406579999999996</v>
      </c>
      <c r="E205" t="s">
        <v>36</v>
      </c>
      <c r="F205">
        <v>8952.5675269999992</v>
      </c>
      <c r="G205">
        <v>2962.7422649999999</v>
      </c>
      <c r="H205">
        <v>3.0217166149999999</v>
      </c>
      <c r="I205">
        <v>3.1576249999999998E-3</v>
      </c>
    </row>
    <row r="206" spans="2:9" x14ac:dyDescent="0.2">
      <c r="B206">
        <v>13</v>
      </c>
      <c r="C206" t="s">
        <v>25</v>
      </c>
      <c r="D206">
        <v>0.94406579999999996</v>
      </c>
      <c r="E206" t="s">
        <v>60</v>
      </c>
      <c r="F206">
        <v>-22187.13825</v>
      </c>
      <c r="G206">
        <v>607.26097200000004</v>
      </c>
      <c r="H206">
        <v>-36.536413959999997</v>
      </c>
      <c r="I206">
        <v>0</v>
      </c>
    </row>
    <row r="207" spans="2:9" x14ac:dyDescent="0.2">
      <c r="B207">
        <v>13</v>
      </c>
      <c r="C207" t="s">
        <v>25</v>
      </c>
      <c r="D207">
        <v>0.94406579999999996</v>
      </c>
      <c r="E207" t="s">
        <v>61</v>
      </c>
      <c r="F207">
        <v>244.54437780000001</v>
      </c>
      <c r="G207">
        <v>16180818734</v>
      </c>
      <c r="H207" s="1">
        <v>1.51E-8</v>
      </c>
      <c r="I207">
        <v>0.99999998800000001</v>
      </c>
    </row>
    <row r="208" spans="2:9" x14ac:dyDescent="0.2">
      <c r="B208">
        <v>13</v>
      </c>
      <c r="C208" t="s">
        <v>25</v>
      </c>
      <c r="D208">
        <v>0.94406579999999996</v>
      </c>
      <c r="E208" t="s">
        <v>70</v>
      </c>
      <c r="F208">
        <v>-244.54437780000001</v>
      </c>
      <c r="G208">
        <v>16180818734</v>
      </c>
      <c r="H208" s="1">
        <v>-1.51E-8</v>
      </c>
      <c r="I208">
        <v>0.99999998800000001</v>
      </c>
    </row>
    <row r="209" spans="2:9" x14ac:dyDescent="0.2">
      <c r="B209">
        <v>13</v>
      </c>
      <c r="C209" t="s">
        <v>25</v>
      </c>
      <c r="D209">
        <v>0.94406579999999996</v>
      </c>
      <c r="E209" t="s">
        <v>63</v>
      </c>
      <c r="F209">
        <v>56912.652699999999</v>
      </c>
    </row>
    <row r="210" spans="2:9" x14ac:dyDescent="0.2">
      <c r="B210">
        <v>14</v>
      </c>
      <c r="C210" t="s">
        <v>72</v>
      </c>
      <c r="D210">
        <v>0.55635021600000001</v>
      </c>
      <c r="E210" t="s">
        <v>49</v>
      </c>
      <c r="F210">
        <v>59179114002</v>
      </c>
      <c r="G210">
        <v>81161911877</v>
      </c>
      <c r="H210">
        <v>0.72914884099999999</v>
      </c>
      <c r="I210">
        <v>0.467533955</v>
      </c>
    </row>
    <row r="211" spans="2:9" x14ac:dyDescent="0.2">
      <c r="B211">
        <v>14</v>
      </c>
      <c r="C211" t="s">
        <v>72</v>
      </c>
      <c r="D211">
        <v>0.55635021600000001</v>
      </c>
      <c r="E211" t="s">
        <v>50</v>
      </c>
      <c r="F211" s="1">
        <v>-369197000000</v>
      </c>
      <c r="G211">
        <v>84307689805</v>
      </c>
      <c r="H211">
        <v>-4.3791654590000002</v>
      </c>
      <c r="I211" s="1">
        <v>2.83E-5</v>
      </c>
    </row>
    <row r="212" spans="2:9" x14ac:dyDescent="0.2">
      <c r="B212">
        <v>14</v>
      </c>
      <c r="C212" t="s">
        <v>72</v>
      </c>
      <c r="D212">
        <v>0.55635021600000001</v>
      </c>
      <c r="E212" t="s">
        <v>51</v>
      </c>
      <c r="F212" s="1">
        <v>1567060000000</v>
      </c>
      <c r="G212" s="1">
        <v>411213000000</v>
      </c>
      <c r="H212">
        <v>3.810836788</v>
      </c>
      <c r="I212">
        <v>2.3375499999999999E-4</v>
      </c>
    </row>
    <row r="213" spans="2:9" x14ac:dyDescent="0.2">
      <c r="B213">
        <v>14</v>
      </c>
      <c r="C213" t="s">
        <v>72</v>
      </c>
      <c r="D213">
        <v>0.55635021600000001</v>
      </c>
      <c r="E213" t="s">
        <v>52</v>
      </c>
      <c r="F213">
        <v>39522695448</v>
      </c>
      <c r="G213">
        <v>81392433830</v>
      </c>
      <c r="H213">
        <v>0.48558193399999999</v>
      </c>
      <c r="I213">
        <v>0.62827532600000002</v>
      </c>
    </row>
    <row r="214" spans="2:9" x14ac:dyDescent="0.2">
      <c r="B214">
        <v>14</v>
      </c>
      <c r="C214" t="s">
        <v>72</v>
      </c>
      <c r="D214">
        <v>0.55635021600000001</v>
      </c>
      <c r="E214" t="s">
        <v>53</v>
      </c>
      <c r="F214" s="1">
        <v>605862000000</v>
      </c>
      <c r="G214">
        <v>82604725240</v>
      </c>
      <c r="H214">
        <v>7.3344762149999996</v>
      </c>
      <c r="I214" s="1">
        <v>4.8599999999999999E-11</v>
      </c>
    </row>
    <row r="215" spans="2:9" x14ac:dyDescent="0.2">
      <c r="B215">
        <v>14</v>
      </c>
      <c r="C215" t="s">
        <v>72</v>
      </c>
      <c r="D215">
        <v>0.55635021600000001</v>
      </c>
      <c r="E215" t="s">
        <v>54</v>
      </c>
      <c r="F215" s="1">
        <v>238249000000</v>
      </c>
      <c r="G215">
        <v>81629478503</v>
      </c>
      <c r="H215">
        <v>2.9186677310000002</v>
      </c>
      <c r="I215">
        <v>4.3012980000000003E-3</v>
      </c>
    </row>
    <row r="216" spans="2:9" x14ac:dyDescent="0.2">
      <c r="B216">
        <v>14</v>
      </c>
      <c r="C216" t="s">
        <v>72</v>
      </c>
      <c r="D216">
        <v>0.55635021600000001</v>
      </c>
      <c r="E216" t="s">
        <v>55</v>
      </c>
      <c r="F216">
        <v>95369461667</v>
      </c>
      <c r="G216" s="1">
        <v>163609000000</v>
      </c>
      <c r="H216">
        <v>0.58291145200000005</v>
      </c>
      <c r="I216">
        <v>0.56120272900000001</v>
      </c>
    </row>
    <row r="217" spans="2:9" x14ac:dyDescent="0.2">
      <c r="B217">
        <v>14</v>
      </c>
      <c r="C217" t="s">
        <v>72</v>
      </c>
      <c r="D217">
        <v>0.55635021600000001</v>
      </c>
      <c r="E217" t="s">
        <v>56</v>
      </c>
      <c r="F217" s="1">
        <v>-2419310000000</v>
      </c>
      <c r="G217" s="1">
        <v>824803000000</v>
      </c>
      <c r="H217">
        <v>-2.9331940329999999</v>
      </c>
      <c r="I217">
        <v>4.1197650000000001E-3</v>
      </c>
    </row>
    <row r="218" spans="2:9" x14ac:dyDescent="0.2">
      <c r="B218">
        <v>14</v>
      </c>
      <c r="C218" t="s">
        <v>72</v>
      </c>
      <c r="D218">
        <v>0.55635021600000001</v>
      </c>
      <c r="E218" t="s">
        <v>57</v>
      </c>
      <c r="F218">
        <v>34128675119</v>
      </c>
    </row>
    <row r="219" spans="2:9" x14ac:dyDescent="0.2">
      <c r="B219">
        <v>14</v>
      </c>
      <c r="C219" t="s">
        <v>72</v>
      </c>
      <c r="D219">
        <v>0.55635021600000001</v>
      </c>
      <c r="E219" t="s">
        <v>58</v>
      </c>
      <c r="F219">
        <v>-28551926026</v>
      </c>
    </row>
    <row r="220" spans="2:9" x14ac:dyDescent="0.2">
      <c r="B220">
        <v>14</v>
      </c>
      <c r="C220" t="s">
        <v>72</v>
      </c>
      <c r="D220">
        <v>0.55635021600000001</v>
      </c>
      <c r="E220" t="s">
        <v>59</v>
      </c>
      <c r="F220">
        <v>-5576749092</v>
      </c>
    </row>
    <row r="221" spans="2:9" x14ac:dyDescent="0.2">
      <c r="B221">
        <v>14</v>
      </c>
      <c r="C221" t="s">
        <v>72</v>
      </c>
      <c r="D221">
        <v>0.55635021600000001</v>
      </c>
      <c r="E221" t="s">
        <v>36</v>
      </c>
      <c r="F221" s="1">
        <v>-576320000000</v>
      </c>
      <c r="G221" s="1">
        <v>264178000000</v>
      </c>
      <c r="H221">
        <v>-2.1815630229999998</v>
      </c>
      <c r="I221">
        <v>3.1372144999999997E-2</v>
      </c>
    </row>
    <row r="222" spans="2:9" x14ac:dyDescent="0.2">
      <c r="B222">
        <v>14</v>
      </c>
      <c r="C222" t="s">
        <v>72</v>
      </c>
      <c r="D222">
        <v>0.55635021600000001</v>
      </c>
      <c r="E222" t="s">
        <v>60</v>
      </c>
      <c r="F222" s="1">
        <v>-104580000000</v>
      </c>
      <c r="G222">
        <v>54147393238</v>
      </c>
      <c r="H222">
        <v>-1.931391165</v>
      </c>
      <c r="I222">
        <v>5.6130632999999999E-2</v>
      </c>
    </row>
    <row r="223" spans="2:9" x14ac:dyDescent="0.2">
      <c r="B223">
        <v>14</v>
      </c>
      <c r="C223" t="s">
        <v>72</v>
      </c>
      <c r="D223">
        <v>0.55635021600000001</v>
      </c>
      <c r="E223" t="s">
        <v>61</v>
      </c>
      <c r="F223">
        <v>-4017167644</v>
      </c>
      <c r="G223" s="1">
        <v>1.44E+18</v>
      </c>
      <c r="H223" s="1">
        <v>-2.7799999999999999E-9</v>
      </c>
      <c r="I223">
        <v>0.99999999799999995</v>
      </c>
    </row>
    <row r="224" spans="2:9" x14ac:dyDescent="0.2">
      <c r="B224">
        <v>14</v>
      </c>
      <c r="C224" t="s">
        <v>72</v>
      </c>
      <c r="D224">
        <v>0.55635021600000001</v>
      </c>
      <c r="E224" t="s">
        <v>70</v>
      </c>
      <c r="F224">
        <v>4017167644</v>
      </c>
      <c r="G224" s="1">
        <v>1.44E+18</v>
      </c>
      <c r="H224" s="1">
        <v>2.7799999999999999E-9</v>
      </c>
      <c r="I224">
        <v>0.99999999799999995</v>
      </c>
    </row>
    <row r="225" spans="2:9" x14ac:dyDescent="0.2">
      <c r="B225">
        <v>14</v>
      </c>
      <c r="C225" t="s">
        <v>72</v>
      </c>
      <c r="D225">
        <v>0.55635021600000001</v>
      </c>
      <c r="E225" t="s">
        <v>63</v>
      </c>
      <c r="F225" s="1">
        <v>3223840000000</v>
      </c>
    </row>
    <row r="226" spans="2:9" x14ac:dyDescent="0.2">
      <c r="B226">
        <v>15</v>
      </c>
      <c r="C226" t="s">
        <v>73</v>
      </c>
      <c r="D226">
        <v>0.58881136099999998</v>
      </c>
      <c r="E226" t="s">
        <v>49</v>
      </c>
      <c r="F226">
        <v>-14300423.23</v>
      </c>
      <c r="G226">
        <v>14490063.6</v>
      </c>
      <c r="H226">
        <v>-0.986912385</v>
      </c>
      <c r="I226">
        <v>0.32595434600000001</v>
      </c>
    </row>
    <row r="227" spans="2:9" x14ac:dyDescent="0.2">
      <c r="B227">
        <v>15</v>
      </c>
      <c r="C227" t="s">
        <v>73</v>
      </c>
      <c r="D227">
        <v>0.58881136099999998</v>
      </c>
      <c r="E227" t="s">
        <v>50</v>
      </c>
      <c r="F227">
        <v>-11982445.869999999</v>
      </c>
      <c r="G227">
        <v>15051688.15</v>
      </c>
      <c r="H227">
        <v>-0.79608650800000003</v>
      </c>
      <c r="I227">
        <v>0.42777793200000003</v>
      </c>
    </row>
    <row r="228" spans="2:9" x14ac:dyDescent="0.2">
      <c r="B228">
        <v>15</v>
      </c>
      <c r="C228" t="s">
        <v>73</v>
      </c>
      <c r="D228">
        <v>0.58881136099999998</v>
      </c>
      <c r="E228" t="s">
        <v>51</v>
      </c>
      <c r="F228">
        <v>313332275.60000002</v>
      </c>
      <c r="G228">
        <v>73414957.859999999</v>
      </c>
      <c r="H228">
        <v>4.2679623439999999</v>
      </c>
      <c r="I228" s="1">
        <v>4.3399999999999998E-5</v>
      </c>
    </row>
    <row r="229" spans="2:9" x14ac:dyDescent="0.2">
      <c r="B229">
        <v>15</v>
      </c>
      <c r="C229" t="s">
        <v>73</v>
      </c>
      <c r="D229">
        <v>0.58881136099999998</v>
      </c>
      <c r="E229" t="s">
        <v>52</v>
      </c>
      <c r="F229">
        <v>9379292.5059999991</v>
      </c>
      <c r="G229">
        <v>14531219.33</v>
      </c>
      <c r="H229">
        <v>0.64545805099999998</v>
      </c>
      <c r="I229">
        <v>0.52003838400000002</v>
      </c>
    </row>
    <row r="230" spans="2:9" x14ac:dyDescent="0.2">
      <c r="B230">
        <v>15</v>
      </c>
      <c r="C230" t="s">
        <v>73</v>
      </c>
      <c r="D230">
        <v>0.58881136099999998</v>
      </c>
      <c r="E230" t="s">
        <v>53</v>
      </c>
      <c r="F230">
        <v>130307551.40000001</v>
      </c>
      <c r="G230">
        <v>14747653.109999999</v>
      </c>
      <c r="H230">
        <v>8.8358161410000005</v>
      </c>
      <c r="I230" s="1">
        <v>2.49E-14</v>
      </c>
    </row>
    <row r="231" spans="2:9" x14ac:dyDescent="0.2">
      <c r="B231">
        <v>15</v>
      </c>
      <c r="C231" t="s">
        <v>73</v>
      </c>
      <c r="D231">
        <v>0.58881136099999998</v>
      </c>
      <c r="E231" t="s">
        <v>54</v>
      </c>
      <c r="F231">
        <v>47610954.390000001</v>
      </c>
      <c r="G231">
        <v>14573539.58</v>
      </c>
      <c r="H231">
        <v>3.2669451459999999</v>
      </c>
      <c r="I231">
        <v>1.469267E-3</v>
      </c>
    </row>
    <row r="232" spans="2:9" x14ac:dyDescent="0.2">
      <c r="B232">
        <v>15</v>
      </c>
      <c r="C232" t="s">
        <v>73</v>
      </c>
      <c r="D232">
        <v>0.58881136099999998</v>
      </c>
      <c r="E232" t="s">
        <v>55</v>
      </c>
      <c r="F232">
        <v>15672203.710000001</v>
      </c>
      <c r="G232">
        <v>29209543.260000002</v>
      </c>
      <c r="H232">
        <v>0.53654394999999999</v>
      </c>
      <c r="I232">
        <v>0.59271765899999995</v>
      </c>
    </row>
    <row r="233" spans="2:9" x14ac:dyDescent="0.2">
      <c r="B233">
        <v>15</v>
      </c>
      <c r="C233" t="s">
        <v>73</v>
      </c>
      <c r="D233">
        <v>0.58881136099999998</v>
      </c>
      <c r="E233" t="s">
        <v>56</v>
      </c>
      <c r="F233">
        <v>-394342462.10000002</v>
      </c>
      <c r="G233">
        <v>147254429.09999999</v>
      </c>
      <c r="H233">
        <v>-2.6779667310000002</v>
      </c>
      <c r="I233">
        <v>8.5982190000000007E-3</v>
      </c>
    </row>
    <row r="234" spans="2:9" x14ac:dyDescent="0.2">
      <c r="B234">
        <v>15</v>
      </c>
      <c r="C234" t="s">
        <v>73</v>
      </c>
      <c r="D234">
        <v>0.58881136099999998</v>
      </c>
      <c r="E234" t="s">
        <v>57</v>
      </c>
      <c r="F234">
        <v>5796935.273</v>
      </c>
    </row>
    <row r="235" spans="2:9" x14ac:dyDescent="0.2">
      <c r="B235">
        <v>15</v>
      </c>
      <c r="C235" t="s">
        <v>73</v>
      </c>
      <c r="D235">
        <v>0.58881136099999998</v>
      </c>
      <c r="E235" t="s">
        <v>58</v>
      </c>
      <c r="F235">
        <v>-4313692.17</v>
      </c>
    </row>
    <row r="236" spans="2:9" x14ac:dyDescent="0.2">
      <c r="B236">
        <v>15</v>
      </c>
      <c r="C236" t="s">
        <v>73</v>
      </c>
      <c r="D236">
        <v>0.58881136099999998</v>
      </c>
      <c r="E236" t="s">
        <v>59</v>
      </c>
      <c r="F236">
        <v>-1483243.1040000001</v>
      </c>
    </row>
    <row r="237" spans="2:9" x14ac:dyDescent="0.2">
      <c r="B237">
        <v>15</v>
      </c>
      <c r="C237" t="s">
        <v>73</v>
      </c>
      <c r="D237">
        <v>0.58881136099999998</v>
      </c>
      <c r="E237" t="s">
        <v>36</v>
      </c>
      <c r="F237">
        <v>-117321831</v>
      </c>
      <c r="G237">
        <v>47164374.490000002</v>
      </c>
      <c r="H237">
        <v>-2.4875095310000002</v>
      </c>
      <c r="I237">
        <v>1.4437719999999999E-2</v>
      </c>
    </row>
    <row r="238" spans="2:9" x14ac:dyDescent="0.2">
      <c r="B238">
        <v>15</v>
      </c>
      <c r="C238" t="s">
        <v>73</v>
      </c>
      <c r="D238">
        <v>0.58881136099999998</v>
      </c>
      <c r="E238" t="s">
        <v>60</v>
      </c>
      <c r="F238">
        <v>-16084820.08</v>
      </c>
      <c r="G238">
        <v>9667085.875</v>
      </c>
      <c r="H238">
        <v>-1.6638747490000001</v>
      </c>
      <c r="I238">
        <v>9.9119268999999996E-2</v>
      </c>
    </row>
    <row r="239" spans="2:9" x14ac:dyDescent="0.2">
      <c r="B239">
        <v>15</v>
      </c>
      <c r="C239" t="s">
        <v>73</v>
      </c>
      <c r="D239">
        <v>0.58881136099999998</v>
      </c>
      <c r="E239" t="s">
        <v>61</v>
      </c>
      <c r="F239">
        <v>77673.370009999999</v>
      </c>
      <c r="G239" s="1">
        <v>257585000000000</v>
      </c>
      <c r="H239" s="1">
        <v>3.0199999999999999E-10</v>
      </c>
      <c r="I239">
        <v>1</v>
      </c>
    </row>
    <row r="240" spans="2:9" x14ac:dyDescent="0.2">
      <c r="B240">
        <v>15</v>
      </c>
      <c r="C240" t="s">
        <v>73</v>
      </c>
      <c r="D240">
        <v>0.58881136099999998</v>
      </c>
      <c r="E240" t="s">
        <v>70</v>
      </c>
      <c r="F240">
        <v>-77673.370009999999</v>
      </c>
      <c r="G240" s="1">
        <v>257585000000000</v>
      </c>
      <c r="H240" s="1">
        <v>-3.0199999999999999E-10</v>
      </c>
      <c r="I240">
        <v>1</v>
      </c>
    </row>
    <row r="241" spans="2:9" x14ac:dyDescent="0.2">
      <c r="B241">
        <v>15</v>
      </c>
      <c r="C241" t="s">
        <v>73</v>
      </c>
      <c r="D241">
        <v>0.58881136099999998</v>
      </c>
      <c r="E241" t="s">
        <v>63</v>
      </c>
      <c r="F241">
        <v>793010965.29999995</v>
      </c>
    </row>
    <row r="242" spans="2:9" x14ac:dyDescent="0.2">
      <c r="B242">
        <v>16</v>
      </c>
      <c r="C242" t="s">
        <v>16</v>
      </c>
      <c r="D242">
        <v>0.82704458000000003</v>
      </c>
      <c r="E242" t="s">
        <v>49</v>
      </c>
      <c r="F242">
        <v>-0.38543777000000001</v>
      </c>
      <c r="G242">
        <v>2.2241395000000001E-2</v>
      </c>
      <c r="H242">
        <v>-17.329748219999999</v>
      </c>
      <c r="I242">
        <v>0</v>
      </c>
    </row>
    <row r="243" spans="2:9" x14ac:dyDescent="0.2">
      <c r="B243">
        <v>16</v>
      </c>
      <c r="C243" t="s">
        <v>16</v>
      </c>
      <c r="D243">
        <v>0.82704458000000003</v>
      </c>
      <c r="E243" t="s">
        <v>50</v>
      </c>
      <c r="F243">
        <v>6.5069018000000006E-2</v>
      </c>
      <c r="G243">
        <v>2.3103454999999998E-2</v>
      </c>
      <c r="H243">
        <v>2.816419325</v>
      </c>
      <c r="I243">
        <v>5.8020499999999996E-3</v>
      </c>
    </row>
    <row r="244" spans="2:9" x14ac:dyDescent="0.2">
      <c r="B244">
        <v>16</v>
      </c>
      <c r="C244" t="s">
        <v>16</v>
      </c>
      <c r="D244">
        <v>0.82704458000000003</v>
      </c>
      <c r="E244" t="s">
        <v>51</v>
      </c>
      <c r="F244">
        <v>0.22019203300000001</v>
      </c>
      <c r="G244">
        <v>0.11268763900000001</v>
      </c>
      <c r="H244">
        <v>1.9540034319999999</v>
      </c>
      <c r="I244">
        <v>5.3360746000000001E-2</v>
      </c>
    </row>
    <row r="245" spans="2:9" x14ac:dyDescent="0.2">
      <c r="B245">
        <v>16</v>
      </c>
      <c r="C245" t="s">
        <v>16</v>
      </c>
      <c r="D245">
        <v>0.82704458000000003</v>
      </c>
      <c r="E245" t="s">
        <v>52</v>
      </c>
      <c r="F245">
        <v>2.2990749000000001E-2</v>
      </c>
      <c r="G245">
        <v>2.2304566000000001E-2</v>
      </c>
      <c r="H245">
        <v>1.030764241</v>
      </c>
      <c r="I245">
        <v>0.305019863</v>
      </c>
    </row>
    <row r="246" spans="2:9" x14ac:dyDescent="0.2">
      <c r="B246">
        <v>16</v>
      </c>
      <c r="C246" t="s">
        <v>16</v>
      </c>
      <c r="D246">
        <v>0.82704458000000003</v>
      </c>
      <c r="E246" t="s">
        <v>53</v>
      </c>
      <c r="F246">
        <v>0.213735118</v>
      </c>
      <c r="G246">
        <v>2.2636778999999999E-2</v>
      </c>
      <c r="H246">
        <v>9.4419402290000001</v>
      </c>
      <c r="I246" s="1">
        <v>1.1100000000000001E-15</v>
      </c>
    </row>
    <row r="247" spans="2:9" x14ac:dyDescent="0.2">
      <c r="B247">
        <v>16</v>
      </c>
      <c r="C247" t="s">
        <v>16</v>
      </c>
      <c r="D247">
        <v>0.82704458000000003</v>
      </c>
      <c r="E247" t="s">
        <v>54</v>
      </c>
      <c r="F247">
        <v>2.7700741000000001E-2</v>
      </c>
      <c r="G247">
        <v>2.2369525000000001E-2</v>
      </c>
      <c r="H247">
        <v>1.2383249489999999</v>
      </c>
      <c r="I247">
        <v>0.21835707200000001</v>
      </c>
    </row>
    <row r="248" spans="2:9" x14ac:dyDescent="0.2">
      <c r="B248">
        <v>16</v>
      </c>
      <c r="C248" t="s">
        <v>16</v>
      </c>
      <c r="D248">
        <v>0.82704458000000003</v>
      </c>
      <c r="E248" t="s">
        <v>55</v>
      </c>
      <c r="F248">
        <v>5.9905310000000003E-3</v>
      </c>
      <c r="G248">
        <v>4.4834930000000002E-2</v>
      </c>
      <c r="H248">
        <v>0.133613025</v>
      </c>
      <c r="I248">
        <v>0.89396433500000005</v>
      </c>
    </row>
    <row r="249" spans="2:9" x14ac:dyDescent="0.2">
      <c r="B249">
        <v>16</v>
      </c>
      <c r="C249" t="s">
        <v>16</v>
      </c>
      <c r="D249">
        <v>0.82704458000000003</v>
      </c>
      <c r="E249" t="s">
        <v>56</v>
      </c>
      <c r="F249">
        <v>-0.46486518199999999</v>
      </c>
      <c r="G249">
        <v>0.22602688100000001</v>
      </c>
      <c r="H249">
        <v>-2.0566809589999999</v>
      </c>
      <c r="I249">
        <v>4.2196102999999999E-2</v>
      </c>
    </row>
    <row r="250" spans="2:9" x14ac:dyDescent="0.2">
      <c r="B250">
        <v>16</v>
      </c>
      <c r="C250" t="s">
        <v>16</v>
      </c>
      <c r="D250">
        <v>0.82704458000000003</v>
      </c>
      <c r="E250" t="s">
        <v>57</v>
      </c>
      <c r="F250">
        <v>-1.4204530999999999E-2</v>
      </c>
    </row>
    <row r="251" spans="2:9" x14ac:dyDescent="0.2">
      <c r="B251">
        <v>16</v>
      </c>
      <c r="C251" t="s">
        <v>16</v>
      </c>
      <c r="D251">
        <v>0.82704458000000003</v>
      </c>
      <c r="E251" t="s">
        <v>58</v>
      </c>
      <c r="F251">
        <v>2.5037513000000001E-2</v>
      </c>
    </row>
    <row r="252" spans="2:9" x14ac:dyDescent="0.2">
      <c r="B252">
        <v>16</v>
      </c>
      <c r="C252" t="s">
        <v>16</v>
      </c>
      <c r="D252">
        <v>0.82704458000000003</v>
      </c>
      <c r="E252" t="s">
        <v>59</v>
      </c>
      <c r="F252">
        <v>-1.0832982999999999E-2</v>
      </c>
    </row>
    <row r="253" spans="2:9" x14ac:dyDescent="0.2">
      <c r="B253">
        <v>16</v>
      </c>
      <c r="C253" t="s">
        <v>16</v>
      </c>
      <c r="D253">
        <v>0.82704458000000003</v>
      </c>
      <c r="E253" t="s">
        <v>36</v>
      </c>
      <c r="F253">
        <v>-0.40536450200000002</v>
      </c>
      <c r="G253">
        <v>7.2394538999999994E-2</v>
      </c>
      <c r="H253">
        <v>-5.5993795950000003</v>
      </c>
      <c r="I253" s="1">
        <v>1.74E-7</v>
      </c>
    </row>
    <row r="254" spans="2:9" x14ac:dyDescent="0.2">
      <c r="B254">
        <v>16</v>
      </c>
      <c r="C254" t="s">
        <v>16</v>
      </c>
      <c r="D254">
        <v>0.82704458000000003</v>
      </c>
      <c r="E254" t="s">
        <v>60</v>
      </c>
      <c r="F254">
        <v>-2.1392817000000001E-2</v>
      </c>
      <c r="G254">
        <v>1.4838408000000001E-2</v>
      </c>
      <c r="H254">
        <v>-1.4417191659999999</v>
      </c>
      <c r="I254">
        <v>0.152357564</v>
      </c>
    </row>
    <row r="255" spans="2:9" x14ac:dyDescent="0.2">
      <c r="B255">
        <v>16</v>
      </c>
      <c r="C255" t="s">
        <v>16</v>
      </c>
      <c r="D255">
        <v>0.82704458000000003</v>
      </c>
      <c r="E255" t="s">
        <v>61</v>
      </c>
      <c r="F255">
        <v>3.1617910000000002E-3</v>
      </c>
      <c r="G255">
        <v>395377.93070000003</v>
      </c>
      <c r="H255" s="1">
        <v>8.0000000000000005E-9</v>
      </c>
      <c r="I255">
        <v>0.99999999399999995</v>
      </c>
    </row>
    <row r="256" spans="2:9" x14ac:dyDescent="0.2">
      <c r="B256">
        <v>16</v>
      </c>
      <c r="C256" t="s">
        <v>16</v>
      </c>
      <c r="D256">
        <v>0.82704458000000003</v>
      </c>
      <c r="E256" t="s">
        <v>70</v>
      </c>
      <c r="F256">
        <v>-3.1617910000000002E-3</v>
      </c>
      <c r="G256">
        <v>395377.93070000003</v>
      </c>
      <c r="H256" s="1">
        <v>-8.0000000000000005E-9</v>
      </c>
      <c r="I256">
        <v>0.99999999399999995</v>
      </c>
    </row>
    <row r="257" spans="2:9" x14ac:dyDescent="0.2">
      <c r="B257">
        <v>16</v>
      </c>
      <c r="C257" t="s">
        <v>16</v>
      </c>
      <c r="D257">
        <v>0.82704458000000003</v>
      </c>
      <c r="E257" t="s">
        <v>63</v>
      </c>
      <c r="F257">
        <v>1.84661834</v>
      </c>
    </row>
    <row r="258" spans="2:9" x14ac:dyDescent="0.2">
      <c r="B258">
        <v>17</v>
      </c>
      <c r="C258" t="s">
        <v>74</v>
      </c>
      <c r="D258">
        <v>0.68857374000000005</v>
      </c>
      <c r="E258" t="s">
        <v>49</v>
      </c>
      <c r="F258">
        <v>-66325306.57</v>
      </c>
      <c r="G258">
        <v>9425535.6669999994</v>
      </c>
      <c r="H258">
        <v>-7.0367678739999997</v>
      </c>
      <c r="I258" s="1">
        <v>2.09E-10</v>
      </c>
    </row>
    <row r="259" spans="2:9" x14ac:dyDescent="0.2">
      <c r="B259">
        <v>17</v>
      </c>
      <c r="C259" t="s">
        <v>74</v>
      </c>
      <c r="D259">
        <v>0.68857374000000005</v>
      </c>
      <c r="E259" t="s">
        <v>50</v>
      </c>
      <c r="F259">
        <v>17436706.629999999</v>
      </c>
      <c r="G259">
        <v>9790862.7190000005</v>
      </c>
      <c r="H259">
        <v>1.7809162620000001</v>
      </c>
      <c r="I259">
        <v>7.7817888000000002E-2</v>
      </c>
    </row>
    <row r="260" spans="2:9" x14ac:dyDescent="0.2">
      <c r="B260">
        <v>17</v>
      </c>
      <c r="C260" t="s">
        <v>74</v>
      </c>
      <c r="D260">
        <v>0.68857374000000005</v>
      </c>
      <c r="E260" t="s">
        <v>51</v>
      </c>
      <c r="F260">
        <v>196808273.40000001</v>
      </c>
      <c r="G260">
        <v>47755159.869999997</v>
      </c>
      <c r="H260">
        <v>4.1211938979999996</v>
      </c>
      <c r="I260" s="1">
        <v>7.5500000000000006E-5</v>
      </c>
    </row>
    <row r="261" spans="2:9" x14ac:dyDescent="0.2">
      <c r="B261">
        <v>17</v>
      </c>
      <c r="C261" t="s">
        <v>74</v>
      </c>
      <c r="D261">
        <v>0.68857374000000005</v>
      </c>
      <c r="E261" t="s">
        <v>52</v>
      </c>
      <c r="F261">
        <v>11792025.59</v>
      </c>
      <c r="G261">
        <v>9452306.7569999993</v>
      </c>
      <c r="H261">
        <v>1.247528873</v>
      </c>
      <c r="I261">
        <v>0.214978848</v>
      </c>
    </row>
    <row r="262" spans="2:9" x14ac:dyDescent="0.2">
      <c r="B262">
        <v>17</v>
      </c>
      <c r="C262" t="s">
        <v>74</v>
      </c>
      <c r="D262">
        <v>0.68857374000000005</v>
      </c>
      <c r="E262" t="s">
        <v>53</v>
      </c>
      <c r="F262">
        <v>97270526.140000001</v>
      </c>
      <c r="G262">
        <v>9593093.1879999992</v>
      </c>
      <c r="H262">
        <v>10.13964153</v>
      </c>
      <c r="I262">
        <v>0</v>
      </c>
    </row>
    <row r="263" spans="2:9" x14ac:dyDescent="0.2">
      <c r="B263">
        <v>17</v>
      </c>
      <c r="C263" t="s">
        <v>74</v>
      </c>
      <c r="D263">
        <v>0.68857374000000005</v>
      </c>
      <c r="E263" t="s">
        <v>54</v>
      </c>
      <c r="F263">
        <v>27539059.649999999</v>
      </c>
      <c r="G263">
        <v>9479835.3469999991</v>
      </c>
      <c r="H263">
        <v>2.9050145540000001</v>
      </c>
      <c r="I263">
        <v>4.4785989999999998E-3</v>
      </c>
    </row>
    <row r="264" spans="2:9" x14ac:dyDescent="0.2">
      <c r="B264">
        <v>17</v>
      </c>
      <c r="C264" t="s">
        <v>74</v>
      </c>
      <c r="D264">
        <v>0.68857374000000005</v>
      </c>
      <c r="E264" t="s">
        <v>55</v>
      </c>
      <c r="F264">
        <v>10289745.300000001</v>
      </c>
      <c r="G264">
        <v>19000302.510000002</v>
      </c>
      <c r="H264">
        <v>0.54155692</v>
      </c>
      <c r="I264">
        <v>0.58927106399999996</v>
      </c>
    </row>
    <row r="265" spans="2:9" x14ac:dyDescent="0.2">
      <c r="B265">
        <v>17</v>
      </c>
      <c r="C265" t="s">
        <v>74</v>
      </c>
      <c r="D265">
        <v>0.68857374000000005</v>
      </c>
      <c r="E265" t="s">
        <v>56</v>
      </c>
      <c r="F265">
        <v>-221205122.30000001</v>
      </c>
      <c r="G265">
        <v>95786458.340000004</v>
      </c>
      <c r="H265">
        <v>-2.3093569399999998</v>
      </c>
      <c r="I265">
        <v>2.2881250999999998E-2</v>
      </c>
    </row>
    <row r="266" spans="2:9" x14ac:dyDescent="0.2">
      <c r="B266">
        <v>17</v>
      </c>
      <c r="C266" t="s">
        <v>74</v>
      </c>
      <c r="D266">
        <v>0.68857374000000005</v>
      </c>
      <c r="E266" t="s">
        <v>57</v>
      </c>
      <c r="F266">
        <v>1416884.949</v>
      </c>
    </row>
    <row r="267" spans="2:9" x14ac:dyDescent="0.2">
      <c r="B267">
        <v>17</v>
      </c>
      <c r="C267" t="s">
        <v>74</v>
      </c>
      <c r="D267">
        <v>0.68857374000000005</v>
      </c>
      <c r="E267" t="s">
        <v>58</v>
      </c>
      <c r="F267">
        <v>1206276.672</v>
      </c>
    </row>
    <row r="268" spans="2:9" x14ac:dyDescent="0.2">
      <c r="B268">
        <v>17</v>
      </c>
      <c r="C268" t="s">
        <v>74</v>
      </c>
      <c r="D268">
        <v>0.68857374000000005</v>
      </c>
      <c r="E268" t="s">
        <v>59</v>
      </c>
      <c r="F268">
        <v>-2623161.6209999998</v>
      </c>
    </row>
    <row r="269" spans="2:9" x14ac:dyDescent="0.2">
      <c r="B269">
        <v>17</v>
      </c>
      <c r="C269" t="s">
        <v>74</v>
      </c>
      <c r="D269">
        <v>0.68857374000000005</v>
      </c>
      <c r="E269" t="s">
        <v>36</v>
      </c>
      <c r="F269">
        <v>-87624638.980000004</v>
      </c>
      <c r="G269">
        <v>30679609.57</v>
      </c>
      <c r="H269">
        <v>-2.8561197549999999</v>
      </c>
      <c r="I269">
        <v>5.1700640000000003E-3</v>
      </c>
    </row>
    <row r="270" spans="2:9" x14ac:dyDescent="0.2">
      <c r="B270">
        <v>17</v>
      </c>
      <c r="C270" t="s">
        <v>74</v>
      </c>
      <c r="D270">
        <v>0.68857374000000005</v>
      </c>
      <c r="E270" t="s">
        <v>60</v>
      </c>
      <c r="F270">
        <v>-8427774.9890000001</v>
      </c>
      <c r="G270">
        <v>6288272.102</v>
      </c>
      <c r="H270">
        <v>-1.3402370079999999</v>
      </c>
      <c r="I270">
        <v>0.183061221</v>
      </c>
    </row>
    <row r="271" spans="2:9" x14ac:dyDescent="0.2">
      <c r="B271">
        <v>17</v>
      </c>
      <c r="C271" t="s">
        <v>74</v>
      </c>
      <c r="D271">
        <v>0.68857374000000005</v>
      </c>
      <c r="E271" t="s">
        <v>61</v>
      </c>
      <c r="F271">
        <v>768298.51890000002</v>
      </c>
      <c r="G271" s="1">
        <v>167555000000000</v>
      </c>
      <c r="H271" s="1">
        <v>4.5900000000000001E-9</v>
      </c>
      <c r="I271">
        <v>0.999999996</v>
      </c>
    </row>
    <row r="272" spans="2:9" x14ac:dyDescent="0.2">
      <c r="B272">
        <v>17</v>
      </c>
      <c r="C272" t="s">
        <v>74</v>
      </c>
      <c r="D272">
        <v>0.68857374000000005</v>
      </c>
      <c r="E272" t="s">
        <v>70</v>
      </c>
      <c r="F272">
        <v>-768298.51890000002</v>
      </c>
      <c r="G272" s="1">
        <v>167555000000000</v>
      </c>
      <c r="H272" s="1">
        <v>-4.5900000000000001E-9</v>
      </c>
      <c r="I272">
        <v>0.999999996</v>
      </c>
    </row>
    <row r="273" spans="2:9" x14ac:dyDescent="0.2">
      <c r="B273">
        <v>17</v>
      </c>
      <c r="C273" t="s">
        <v>74</v>
      </c>
      <c r="D273">
        <v>0.68857374000000005</v>
      </c>
      <c r="E273" t="s">
        <v>63</v>
      </c>
      <c r="F273">
        <v>372693477.80000001</v>
      </c>
    </row>
    <row r="274" spans="2:9" x14ac:dyDescent="0.2">
      <c r="B274">
        <v>18</v>
      </c>
      <c r="C274" t="s">
        <v>75</v>
      </c>
      <c r="D274">
        <v>0.62246337299999999</v>
      </c>
      <c r="E274" t="s">
        <v>49</v>
      </c>
      <c r="F274">
        <v>-7898077.8389999997</v>
      </c>
      <c r="G274">
        <v>1602620.267</v>
      </c>
      <c r="H274">
        <v>-4.9282278540000002</v>
      </c>
      <c r="I274" s="1">
        <v>3.1099999999999999E-6</v>
      </c>
    </row>
    <row r="275" spans="2:9" x14ac:dyDescent="0.2">
      <c r="B275">
        <v>18</v>
      </c>
      <c r="C275" t="s">
        <v>75</v>
      </c>
      <c r="D275">
        <v>0.62246337299999999</v>
      </c>
      <c r="E275" t="s">
        <v>50</v>
      </c>
      <c r="F275">
        <v>-1810137.6869999999</v>
      </c>
      <c r="G275">
        <v>1664736.6880000001</v>
      </c>
      <c r="H275">
        <v>-1.0873417400000001</v>
      </c>
      <c r="I275">
        <v>0.27937552799999998</v>
      </c>
    </row>
    <row r="276" spans="2:9" x14ac:dyDescent="0.2">
      <c r="B276">
        <v>18</v>
      </c>
      <c r="C276" t="s">
        <v>75</v>
      </c>
      <c r="D276">
        <v>0.62246337299999999</v>
      </c>
      <c r="E276" t="s">
        <v>51</v>
      </c>
      <c r="F276">
        <v>31041307.75</v>
      </c>
      <c r="G276">
        <v>8119791.7829999998</v>
      </c>
      <c r="H276">
        <v>3.8229191810000001</v>
      </c>
      <c r="I276">
        <v>2.23928E-4</v>
      </c>
    </row>
    <row r="277" spans="2:9" x14ac:dyDescent="0.2">
      <c r="B277">
        <v>18</v>
      </c>
      <c r="C277" t="s">
        <v>75</v>
      </c>
      <c r="D277">
        <v>0.62246337299999999</v>
      </c>
      <c r="E277" t="s">
        <v>52</v>
      </c>
      <c r="F277">
        <v>1650204.496</v>
      </c>
      <c r="G277">
        <v>1607172.145</v>
      </c>
      <c r="H277">
        <v>1.0267751970000001</v>
      </c>
      <c r="I277">
        <v>0.30688592599999998</v>
      </c>
    </row>
    <row r="278" spans="2:9" x14ac:dyDescent="0.2">
      <c r="B278">
        <v>18</v>
      </c>
      <c r="C278" t="s">
        <v>75</v>
      </c>
      <c r="D278">
        <v>0.62246337299999999</v>
      </c>
      <c r="E278" t="s">
        <v>53</v>
      </c>
      <c r="F278">
        <v>14729282.949999999</v>
      </c>
      <c r="G278">
        <v>1631110.0090000001</v>
      </c>
      <c r="H278">
        <v>9.0302204459999995</v>
      </c>
      <c r="I278" s="1">
        <v>9.1000000000000004E-15</v>
      </c>
    </row>
    <row r="279" spans="2:9" x14ac:dyDescent="0.2">
      <c r="B279">
        <v>18</v>
      </c>
      <c r="C279" t="s">
        <v>75</v>
      </c>
      <c r="D279">
        <v>0.62246337299999999</v>
      </c>
      <c r="E279" t="s">
        <v>54</v>
      </c>
      <c r="F279">
        <v>4253027.5269999998</v>
      </c>
      <c r="G279">
        <v>1611852.821</v>
      </c>
      <c r="H279">
        <v>2.6385954539999998</v>
      </c>
      <c r="I279">
        <v>9.5914799999999995E-3</v>
      </c>
    </row>
    <row r="280" spans="2:9" x14ac:dyDescent="0.2">
      <c r="B280">
        <v>18</v>
      </c>
      <c r="C280" t="s">
        <v>75</v>
      </c>
      <c r="D280">
        <v>0.62246337299999999</v>
      </c>
      <c r="E280" t="s">
        <v>55</v>
      </c>
      <c r="F280">
        <v>1943132.89</v>
      </c>
      <c r="G280">
        <v>3230614.2549999999</v>
      </c>
      <c r="H280">
        <v>0.60147474599999995</v>
      </c>
      <c r="I280">
        <v>0.54882023899999999</v>
      </c>
    </row>
    <row r="281" spans="2:9" x14ac:dyDescent="0.2">
      <c r="B281">
        <v>18</v>
      </c>
      <c r="C281" t="s">
        <v>75</v>
      </c>
      <c r="D281">
        <v>0.62246337299999999</v>
      </c>
      <c r="E281" t="s">
        <v>56</v>
      </c>
      <c r="F281">
        <v>-44796277.030000001</v>
      </c>
      <c r="G281">
        <v>16286535.310000001</v>
      </c>
      <c r="H281">
        <v>-2.7505099259999999</v>
      </c>
      <c r="I281">
        <v>7.0089130000000003E-3</v>
      </c>
    </row>
    <row r="282" spans="2:9" x14ac:dyDescent="0.2">
      <c r="B282">
        <v>18</v>
      </c>
      <c r="C282" t="s">
        <v>75</v>
      </c>
      <c r="D282">
        <v>0.62246337299999999</v>
      </c>
      <c r="E282" t="s">
        <v>57</v>
      </c>
      <c r="F282">
        <v>268744.15740000003</v>
      </c>
    </row>
    <row r="283" spans="2:9" x14ac:dyDescent="0.2">
      <c r="B283">
        <v>18</v>
      </c>
      <c r="C283" t="s">
        <v>75</v>
      </c>
      <c r="D283">
        <v>0.62246337299999999</v>
      </c>
      <c r="E283" t="s">
        <v>58</v>
      </c>
      <c r="F283">
        <v>55443.084710000003</v>
      </c>
    </row>
    <row r="284" spans="2:9" x14ac:dyDescent="0.2">
      <c r="B284">
        <v>18</v>
      </c>
      <c r="C284" t="s">
        <v>75</v>
      </c>
      <c r="D284">
        <v>0.62246337299999999</v>
      </c>
      <c r="E284" t="s">
        <v>59</v>
      </c>
      <c r="F284">
        <v>-324187.24209999997</v>
      </c>
    </row>
    <row r="285" spans="2:9" x14ac:dyDescent="0.2">
      <c r="B285">
        <v>18</v>
      </c>
      <c r="C285" t="s">
        <v>75</v>
      </c>
      <c r="D285">
        <v>0.62246337299999999</v>
      </c>
      <c r="E285" t="s">
        <v>36</v>
      </c>
      <c r="F285">
        <v>-13937833.300000001</v>
      </c>
      <c r="G285">
        <v>5216442.42</v>
      </c>
      <c r="H285">
        <v>-2.6719039859999998</v>
      </c>
      <c r="I285">
        <v>8.7448300000000003E-3</v>
      </c>
    </row>
    <row r="286" spans="2:9" x14ac:dyDescent="0.2">
      <c r="B286">
        <v>18</v>
      </c>
      <c r="C286" t="s">
        <v>75</v>
      </c>
      <c r="D286">
        <v>0.62246337299999999</v>
      </c>
      <c r="E286" t="s">
        <v>60</v>
      </c>
      <c r="F286">
        <v>-1847256.686</v>
      </c>
      <c r="G286">
        <v>1069192.5290000001</v>
      </c>
      <c r="H286">
        <v>-1.727711929</v>
      </c>
      <c r="I286">
        <v>8.6979979999999998E-2</v>
      </c>
    </row>
    <row r="287" spans="2:9" x14ac:dyDescent="0.2">
      <c r="B287">
        <v>18</v>
      </c>
      <c r="C287" t="s">
        <v>75</v>
      </c>
      <c r="D287">
        <v>0.62246337299999999</v>
      </c>
      <c r="E287" t="s">
        <v>61</v>
      </c>
      <c r="F287">
        <v>33782.071490000002</v>
      </c>
      <c r="G287" s="1">
        <v>28489300000000</v>
      </c>
      <c r="H287" s="1">
        <v>1.19E-9</v>
      </c>
      <c r="I287">
        <v>0.99999999900000003</v>
      </c>
    </row>
    <row r="288" spans="2:9" x14ac:dyDescent="0.2">
      <c r="B288">
        <v>18</v>
      </c>
      <c r="C288" t="s">
        <v>75</v>
      </c>
      <c r="D288">
        <v>0.62246337299999999</v>
      </c>
      <c r="E288" t="s">
        <v>70</v>
      </c>
      <c r="F288">
        <v>-33782.071490000002</v>
      </c>
      <c r="G288" s="1">
        <v>28489300000000</v>
      </c>
      <c r="H288" s="1">
        <v>-1.19E-9</v>
      </c>
      <c r="I288">
        <v>0.99999999900000003</v>
      </c>
    </row>
    <row r="289" spans="2:9" x14ac:dyDescent="0.2">
      <c r="B289">
        <v>18</v>
      </c>
      <c r="C289" t="s">
        <v>75</v>
      </c>
      <c r="D289">
        <v>0.62246337299999999</v>
      </c>
      <c r="E289" t="s">
        <v>63</v>
      </c>
      <c r="F289">
        <v>79847473.569999993</v>
      </c>
    </row>
    <row r="290" spans="2:9" x14ac:dyDescent="0.2">
      <c r="B290">
        <v>19</v>
      </c>
      <c r="C290" t="s">
        <v>14</v>
      </c>
      <c r="D290">
        <v>0.89675001600000004</v>
      </c>
      <c r="E290" t="s">
        <v>49</v>
      </c>
      <c r="F290">
        <v>2.4223199999999999E-4</v>
      </c>
      <c r="G290">
        <v>2.1099740000000001E-3</v>
      </c>
      <c r="H290">
        <v>0.114803223</v>
      </c>
      <c r="I290">
        <v>0.90882034499999997</v>
      </c>
    </row>
    <row r="291" spans="2:9" x14ac:dyDescent="0.2">
      <c r="B291">
        <v>19</v>
      </c>
      <c r="C291" t="s">
        <v>14</v>
      </c>
      <c r="D291">
        <v>0.89675001600000004</v>
      </c>
      <c r="E291" t="s">
        <v>50</v>
      </c>
      <c r="F291">
        <v>3.878701E-3</v>
      </c>
      <c r="G291">
        <v>2.1917550000000001E-3</v>
      </c>
      <c r="H291">
        <v>1.7696779490000001</v>
      </c>
      <c r="I291">
        <v>7.9683759000000007E-2</v>
      </c>
    </row>
    <row r="292" spans="2:9" x14ac:dyDescent="0.2">
      <c r="B292">
        <v>19</v>
      </c>
      <c r="C292" t="s">
        <v>14</v>
      </c>
      <c r="D292">
        <v>0.89675001600000004</v>
      </c>
      <c r="E292" t="s">
        <v>51</v>
      </c>
      <c r="F292">
        <v>-1.9587166999999999E-2</v>
      </c>
      <c r="G292">
        <v>1.0690338000000001E-2</v>
      </c>
      <c r="H292">
        <v>-1.8322308300000001</v>
      </c>
      <c r="I292">
        <v>6.9751275000000001E-2</v>
      </c>
    </row>
    <row r="293" spans="2:9" x14ac:dyDescent="0.2">
      <c r="B293">
        <v>19</v>
      </c>
      <c r="C293" t="s">
        <v>14</v>
      </c>
      <c r="D293">
        <v>0.89675001600000004</v>
      </c>
      <c r="E293" t="s">
        <v>52</v>
      </c>
      <c r="F293">
        <v>4.4512145000000003E-2</v>
      </c>
      <c r="G293">
        <v>2.1159669999999998E-3</v>
      </c>
      <c r="H293">
        <v>21.036310709999999</v>
      </c>
      <c r="I293">
        <v>0</v>
      </c>
    </row>
    <row r="294" spans="2:9" x14ac:dyDescent="0.2">
      <c r="B294">
        <v>19</v>
      </c>
      <c r="C294" t="s">
        <v>14</v>
      </c>
      <c r="D294">
        <v>0.89675001600000004</v>
      </c>
      <c r="E294" t="s">
        <v>53</v>
      </c>
      <c r="F294">
        <v>-3.9479779E-2</v>
      </c>
      <c r="G294">
        <v>2.1474829999999999E-3</v>
      </c>
      <c r="H294">
        <v>-18.384207409999998</v>
      </c>
      <c r="I294">
        <v>0</v>
      </c>
    </row>
    <row r="295" spans="2:9" x14ac:dyDescent="0.2">
      <c r="B295">
        <v>19</v>
      </c>
      <c r="C295" t="s">
        <v>14</v>
      </c>
      <c r="D295">
        <v>0.89675001600000004</v>
      </c>
      <c r="E295" t="s">
        <v>54</v>
      </c>
      <c r="F295">
        <v>-1.324427E-3</v>
      </c>
      <c r="G295">
        <v>2.1221299999999998E-3</v>
      </c>
      <c r="H295">
        <v>-0.62410283799999999</v>
      </c>
      <c r="I295">
        <v>0.53391367700000003</v>
      </c>
    </row>
    <row r="296" spans="2:9" x14ac:dyDescent="0.2">
      <c r="B296">
        <v>19</v>
      </c>
      <c r="C296" t="s">
        <v>14</v>
      </c>
      <c r="D296">
        <v>0.89675001600000004</v>
      </c>
      <c r="E296" t="s">
        <v>55</v>
      </c>
      <c r="F296">
        <v>1.241804E-3</v>
      </c>
      <c r="G296">
        <v>4.2533550000000003E-3</v>
      </c>
      <c r="H296">
        <v>0.29195871499999998</v>
      </c>
      <c r="I296">
        <v>0.770894254</v>
      </c>
    </row>
    <row r="297" spans="2:9" x14ac:dyDescent="0.2">
      <c r="B297">
        <v>19</v>
      </c>
      <c r="C297" t="s">
        <v>14</v>
      </c>
      <c r="D297">
        <v>0.89675001600000004</v>
      </c>
      <c r="E297" t="s">
        <v>56</v>
      </c>
      <c r="F297">
        <v>-3.1106459999999999E-3</v>
      </c>
      <c r="G297">
        <v>2.1442492E-2</v>
      </c>
      <c r="H297">
        <v>-0.14506925700000001</v>
      </c>
      <c r="I297">
        <v>0.88493429700000004</v>
      </c>
    </row>
    <row r="298" spans="2:9" x14ac:dyDescent="0.2">
      <c r="B298">
        <v>19</v>
      </c>
      <c r="C298" t="s">
        <v>14</v>
      </c>
      <c r="D298">
        <v>0.89675001600000004</v>
      </c>
      <c r="E298" t="s">
        <v>57</v>
      </c>
      <c r="F298">
        <v>-4.61731E-4</v>
      </c>
    </row>
    <row r="299" spans="2:9" x14ac:dyDescent="0.2">
      <c r="B299">
        <v>19</v>
      </c>
      <c r="C299" t="s">
        <v>14</v>
      </c>
      <c r="D299">
        <v>0.89675001600000004</v>
      </c>
      <c r="E299" t="s">
        <v>58</v>
      </c>
      <c r="F299">
        <v>-7.27021E-4</v>
      </c>
    </row>
    <row r="300" spans="2:9" x14ac:dyDescent="0.2">
      <c r="B300">
        <v>19</v>
      </c>
      <c r="C300" t="s">
        <v>14</v>
      </c>
      <c r="D300">
        <v>0.89675001600000004</v>
      </c>
      <c r="E300" t="s">
        <v>59</v>
      </c>
      <c r="F300">
        <v>1.188752E-3</v>
      </c>
    </row>
    <row r="301" spans="2:9" x14ac:dyDescent="0.2">
      <c r="B301">
        <v>19</v>
      </c>
      <c r="C301" t="s">
        <v>14</v>
      </c>
      <c r="D301">
        <v>0.89675001600000004</v>
      </c>
      <c r="E301" t="s">
        <v>36</v>
      </c>
      <c r="F301">
        <v>-4.5932189999999999E-3</v>
      </c>
      <c r="G301">
        <v>6.8678530000000002E-3</v>
      </c>
      <c r="H301">
        <v>-0.66879989399999995</v>
      </c>
      <c r="I301">
        <v>0.50509088400000002</v>
      </c>
    </row>
    <row r="302" spans="2:9" x14ac:dyDescent="0.2">
      <c r="B302">
        <v>19</v>
      </c>
      <c r="C302" t="s">
        <v>14</v>
      </c>
      <c r="D302">
        <v>0.89675001600000004</v>
      </c>
      <c r="E302" t="s">
        <v>60</v>
      </c>
      <c r="F302">
        <v>-2.6609609999999999E-3</v>
      </c>
      <c r="G302">
        <v>1.4076749999999999E-3</v>
      </c>
      <c r="H302">
        <v>-1.890322947</v>
      </c>
      <c r="I302">
        <v>6.1472045000000003E-2</v>
      </c>
    </row>
    <row r="303" spans="2:9" x14ac:dyDescent="0.2">
      <c r="B303">
        <v>19</v>
      </c>
      <c r="C303" t="s">
        <v>14</v>
      </c>
      <c r="D303">
        <v>0.89675001600000004</v>
      </c>
      <c r="E303" t="s">
        <v>61</v>
      </c>
      <c r="F303">
        <v>1.1144869999999999E-3</v>
      </c>
      <c r="G303">
        <v>37508.317669999997</v>
      </c>
      <c r="H303" s="1">
        <v>2.9700000000000001E-8</v>
      </c>
      <c r="I303">
        <v>0.99999997600000001</v>
      </c>
    </row>
    <row r="304" spans="2:9" x14ac:dyDescent="0.2">
      <c r="B304">
        <v>19</v>
      </c>
      <c r="C304" t="s">
        <v>14</v>
      </c>
      <c r="D304">
        <v>0.89675001600000004</v>
      </c>
      <c r="E304" t="s">
        <v>70</v>
      </c>
      <c r="F304">
        <v>-1.1144869999999999E-3</v>
      </c>
      <c r="G304">
        <v>37508.317669999997</v>
      </c>
      <c r="H304" s="1">
        <v>-2.9700000000000001E-8</v>
      </c>
      <c r="I304">
        <v>0.99999997600000001</v>
      </c>
    </row>
    <row r="305" spans="2:9" x14ac:dyDescent="0.2">
      <c r="B305">
        <v>19</v>
      </c>
      <c r="C305" t="s">
        <v>14</v>
      </c>
      <c r="D305">
        <v>0.89675001600000004</v>
      </c>
      <c r="E305" t="s">
        <v>63</v>
      </c>
      <c r="F305">
        <v>0.63030742900000003</v>
      </c>
    </row>
    <row r="306" spans="2:9" x14ac:dyDescent="0.2">
      <c r="B306">
        <v>20</v>
      </c>
      <c r="C306" t="s">
        <v>13</v>
      </c>
      <c r="D306">
        <v>0.70762568800000003</v>
      </c>
      <c r="E306" t="s">
        <v>49</v>
      </c>
      <c r="F306">
        <v>-1.66031E-4</v>
      </c>
      <c r="G306">
        <v>2.038883E-3</v>
      </c>
      <c r="H306">
        <v>-8.1432412999999995E-2</v>
      </c>
      <c r="I306">
        <v>0.93525309499999998</v>
      </c>
    </row>
    <row r="307" spans="2:9" x14ac:dyDescent="0.2">
      <c r="B307">
        <v>20</v>
      </c>
      <c r="C307" t="s">
        <v>13</v>
      </c>
      <c r="D307">
        <v>0.70762568800000003</v>
      </c>
      <c r="E307" t="s">
        <v>50</v>
      </c>
      <c r="F307" s="1">
        <v>-1.9400000000000001E-5</v>
      </c>
      <c r="G307">
        <v>2.1179089999999999E-3</v>
      </c>
      <c r="H307">
        <v>-9.1386450000000008E-3</v>
      </c>
      <c r="I307">
        <v>0.99272585899999999</v>
      </c>
    </row>
    <row r="308" spans="2:9" x14ac:dyDescent="0.2">
      <c r="B308">
        <v>20</v>
      </c>
      <c r="C308" t="s">
        <v>13</v>
      </c>
      <c r="D308">
        <v>0.70762568800000003</v>
      </c>
      <c r="E308" t="s">
        <v>51</v>
      </c>
      <c r="F308">
        <v>-7.8243989999999992E-3</v>
      </c>
      <c r="G308">
        <v>1.033015E-2</v>
      </c>
      <c r="H308">
        <v>-0.75743325100000003</v>
      </c>
      <c r="I308">
        <v>0.45048679800000002</v>
      </c>
    </row>
    <row r="309" spans="2:9" x14ac:dyDescent="0.2">
      <c r="B309">
        <v>20</v>
      </c>
      <c r="C309" t="s">
        <v>13</v>
      </c>
      <c r="D309">
        <v>0.70762568800000003</v>
      </c>
      <c r="E309" t="s">
        <v>52</v>
      </c>
      <c r="F309">
        <v>2.6312104999999999E-2</v>
      </c>
      <c r="G309">
        <v>2.0446739999999998E-3</v>
      </c>
      <c r="H309">
        <v>12.86860461</v>
      </c>
      <c r="I309">
        <v>0</v>
      </c>
    </row>
    <row r="310" spans="2:9" x14ac:dyDescent="0.2">
      <c r="B310">
        <v>20</v>
      </c>
      <c r="C310" t="s">
        <v>13</v>
      </c>
      <c r="D310">
        <v>0.70762568800000003</v>
      </c>
      <c r="E310" t="s">
        <v>53</v>
      </c>
      <c r="F310">
        <v>-1.4333257E-2</v>
      </c>
      <c r="G310">
        <v>2.0751279999999999E-3</v>
      </c>
      <c r="H310">
        <v>-6.9071658310000004</v>
      </c>
      <c r="I310" s="1">
        <v>3.9299999999999999E-10</v>
      </c>
    </row>
    <row r="311" spans="2:9" x14ac:dyDescent="0.2">
      <c r="B311">
        <v>20</v>
      </c>
      <c r="C311" t="s">
        <v>13</v>
      </c>
      <c r="D311">
        <v>0.70762568800000003</v>
      </c>
      <c r="E311" t="s">
        <v>54</v>
      </c>
      <c r="F311">
        <v>1.5853029999999999E-3</v>
      </c>
      <c r="G311">
        <v>2.050629E-3</v>
      </c>
      <c r="H311">
        <v>0.77308149000000004</v>
      </c>
      <c r="I311">
        <v>0.441211032</v>
      </c>
    </row>
    <row r="312" spans="2:9" x14ac:dyDescent="0.2">
      <c r="B312">
        <v>20</v>
      </c>
      <c r="C312" t="s">
        <v>13</v>
      </c>
      <c r="D312">
        <v>0.70762568800000003</v>
      </c>
      <c r="E312" t="s">
        <v>55</v>
      </c>
      <c r="F312">
        <v>-2.6892799999999998E-4</v>
      </c>
      <c r="G312">
        <v>4.1100479999999998E-3</v>
      </c>
      <c r="H312">
        <v>-6.5431772999999999E-2</v>
      </c>
      <c r="I312">
        <v>0.94795464399999996</v>
      </c>
    </row>
    <row r="313" spans="2:9" x14ac:dyDescent="0.2">
      <c r="B313">
        <v>20</v>
      </c>
      <c r="C313" t="s">
        <v>13</v>
      </c>
      <c r="D313">
        <v>0.70762568800000003</v>
      </c>
      <c r="E313" t="s">
        <v>56</v>
      </c>
      <c r="F313">
        <v>-2.9216631E-2</v>
      </c>
      <c r="G313">
        <v>2.0720032999999999E-2</v>
      </c>
      <c r="H313">
        <v>-1.4100668190000001</v>
      </c>
      <c r="I313">
        <v>0.16147534099999999</v>
      </c>
    </row>
    <row r="314" spans="2:9" x14ac:dyDescent="0.2">
      <c r="B314">
        <v>20</v>
      </c>
      <c r="C314" t="s">
        <v>13</v>
      </c>
      <c r="D314">
        <v>0.70762568800000003</v>
      </c>
      <c r="E314" t="s">
        <v>57</v>
      </c>
      <c r="F314">
        <v>-7.9526200000000003E-4</v>
      </c>
    </row>
    <row r="315" spans="2:9" x14ac:dyDescent="0.2">
      <c r="B315">
        <v>20</v>
      </c>
      <c r="C315" t="s">
        <v>13</v>
      </c>
      <c r="D315">
        <v>0.70762568800000003</v>
      </c>
      <c r="E315" t="s">
        <v>58</v>
      </c>
      <c r="F315" s="1">
        <v>-4.5399999999999999E-5</v>
      </c>
    </row>
    <row r="316" spans="2:9" x14ac:dyDescent="0.2">
      <c r="B316">
        <v>20</v>
      </c>
      <c r="C316" t="s">
        <v>13</v>
      </c>
      <c r="D316">
        <v>0.70762568800000003</v>
      </c>
      <c r="E316" t="s">
        <v>59</v>
      </c>
      <c r="F316">
        <v>8.4066999999999996E-4</v>
      </c>
    </row>
    <row r="317" spans="2:9" x14ac:dyDescent="0.2">
      <c r="B317">
        <v>20</v>
      </c>
      <c r="C317" t="s">
        <v>13</v>
      </c>
      <c r="D317">
        <v>0.70762568800000003</v>
      </c>
      <c r="E317" t="s">
        <v>36</v>
      </c>
      <c r="F317">
        <v>-2.1671780000000001E-3</v>
      </c>
      <c r="G317">
        <v>6.6364550000000003E-3</v>
      </c>
      <c r="H317">
        <v>-0.32655652699999999</v>
      </c>
      <c r="I317">
        <v>0.74465335499999996</v>
      </c>
    </row>
    <row r="318" spans="2:9" x14ac:dyDescent="0.2">
      <c r="B318">
        <v>20</v>
      </c>
      <c r="C318" t="s">
        <v>13</v>
      </c>
      <c r="D318">
        <v>0.70762568800000003</v>
      </c>
      <c r="E318" t="s">
        <v>60</v>
      </c>
      <c r="F318">
        <v>-1.208195E-3</v>
      </c>
      <c r="G318">
        <v>1.360247E-3</v>
      </c>
      <c r="H318">
        <v>-0.88821770700000002</v>
      </c>
      <c r="I318">
        <v>0.37645385799999997</v>
      </c>
    </row>
    <row r="319" spans="2:9" x14ac:dyDescent="0.2">
      <c r="B319">
        <v>20</v>
      </c>
      <c r="C319" t="s">
        <v>13</v>
      </c>
      <c r="D319">
        <v>0.70762568800000003</v>
      </c>
      <c r="E319" t="s">
        <v>61</v>
      </c>
      <c r="F319">
        <v>8.2337800000000004E-4</v>
      </c>
      <c r="G319">
        <v>36244.555639999999</v>
      </c>
      <c r="H319" s="1">
        <v>2.2700000000000001E-8</v>
      </c>
      <c r="I319">
        <v>0.99999998199999995</v>
      </c>
    </row>
    <row r="320" spans="2:9" x14ac:dyDescent="0.2">
      <c r="B320">
        <v>20</v>
      </c>
      <c r="C320" t="s">
        <v>13</v>
      </c>
      <c r="D320">
        <v>0.70762568800000003</v>
      </c>
      <c r="E320" t="s">
        <v>70</v>
      </c>
      <c r="F320">
        <v>-8.2337800000000004E-4</v>
      </c>
      <c r="G320">
        <v>36244.555639999999</v>
      </c>
      <c r="H320" s="1">
        <v>-2.2700000000000001E-8</v>
      </c>
      <c r="I320">
        <v>0.99999998199999995</v>
      </c>
    </row>
    <row r="321" spans="2:9" x14ac:dyDescent="0.2">
      <c r="B321">
        <v>20</v>
      </c>
      <c r="C321" t="s">
        <v>13</v>
      </c>
      <c r="D321">
        <v>0.70762568800000003</v>
      </c>
      <c r="E321" t="s">
        <v>63</v>
      </c>
      <c r="F321">
        <v>0.39491283300000002</v>
      </c>
    </row>
    <row r="322" spans="2:9" x14ac:dyDescent="0.2">
      <c r="B322">
        <v>21</v>
      </c>
      <c r="C322" t="s">
        <v>17</v>
      </c>
      <c r="D322">
        <v>0.87286688700000004</v>
      </c>
      <c r="E322" t="s">
        <v>49</v>
      </c>
      <c r="F322">
        <v>8.4061673040000002</v>
      </c>
      <c r="G322">
        <v>0.358108704</v>
      </c>
      <c r="H322">
        <v>23.47378659</v>
      </c>
      <c r="I322">
        <v>0</v>
      </c>
    </row>
    <row r="323" spans="2:9" x14ac:dyDescent="0.2">
      <c r="B323">
        <v>21</v>
      </c>
      <c r="C323" t="s">
        <v>17</v>
      </c>
      <c r="D323">
        <v>0.87286688700000004</v>
      </c>
      <c r="E323" t="s">
        <v>50</v>
      </c>
      <c r="F323">
        <v>-0.54300610900000001</v>
      </c>
      <c r="G323">
        <v>0.37198874300000001</v>
      </c>
      <c r="H323">
        <v>-1.459738014</v>
      </c>
      <c r="I323">
        <v>0.14734754899999999</v>
      </c>
    </row>
    <row r="324" spans="2:9" x14ac:dyDescent="0.2">
      <c r="B324">
        <v>21</v>
      </c>
      <c r="C324" t="s">
        <v>17</v>
      </c>
      <c r="D324">
        <v>0.87286688700000004</v>
      </c>
      <c r="E324" t="s">
        <v>51</v>
      </c>
      <c r="F324">
        <v>-0.38945569699999999</v>
      </c>
      <c r="G324">
        <v>1.814383716</v>
      </c>
      <c r="H324">
        <v>-0.21464902599999999</v>
      </c>
      <c r="I324">
        <v>0.83045729599999996</v>
      </c>
    </row>
    <row r="325" spans="2:9" x14ac:dyDescent="0.2">
      <c r="B325">
        <v>21</v>
      </c>
      <c r="C325" t="s">
        <v>17</v>
      </c>
      <c r="D325">
        <v>0.87286688700000004</v>
      </c>
      <c r="E325" t="s">
        <v>52</v>
      </c>
      <c r="F325">
        <v>-0.78726053699999998</v>
      </c>
      <c r="G325">
        <v>0.35912583100000001</v>
      </c>
      <c r="H325">
        <v>-2.1921579279999999</v>
      </c>
      <c r="I325">
        <v>3.0576320000000001E-2</v>
      </c>
    </row>
    <row r="326" spans="2:9" x14ac:dyDescent="0.2">
      <c r="B326">
        <v>21</v>
      </c>
      <c r="C326" t="s">
        <v>17</v>
      </c>
      <c r="D326">
        <v>0.87286688700000004</v>
      </c>
      <c r="E326" t="s">
        <v>53</v>
      </c>
      <c r="F326">
        <v>-2.766334793</v>
      </c>
      <c r="G326">
        <v>0.36447479399999999</v>
      </c>
      <c r="H326">
        <v>-7.5899207210000004</v>
      </c>
      <c r="I326" s="1">
        <v>1.37E-11</v>
      </c>
    </row>
    <row r="327" spans="2:9" x14ac:dyDescent="0.2">
      <c r="B327">
        <v>21</v>
      </c>
      <c r="C327" t="s">
        <v>17</v>
      </c>
      <c r="D327">
        <v>0.87286688700000004</v>
      </c>
      <c r="E327" t="s">
        <v>54</v>
      </c>
      <c r="F327">
        <v>0.33806588399999998</v>
      </c>
      <c r="G327">
        <v>0.36017173699999999</v>
      </c>
      <c r="H327">
        <v>0.93862413200000006</v>
      </c>
      <c r="I327">
        <v>0.35007789499999997</v>
      </c>
    </row>
    <row r="328" spans="2:9" x14ac:dyDescent="0.2">
      <c r="B328">
        <v>21</v>
      </c>
      <c r="C328" t="s">
        <v>17</v>
      </c>
      <c r="D328">
        <v>0.87286688700000004</v>
      </c>
      <c r="E328" t="s">
        <v>55</v>
      </c>
      <c r="F328">
        <v>-0.582741968</v>
      </c>
      <c r="G328">
        <v>0.72188721700000003</v>
      </c>
      <c r="H328">
        <v>-0.80724793800000005</v>
      </c>
      <c r="I328">
        <v>0.42134851899999998</v>
      </c>
    </row>
    <row r="329" spans="2:9" x14ac:dyDescent="0.2">
      <c r="B329">
        <v>21</v>
      </c>
      <c r="C329" t="s">
        <v>17</v>
      </c>
      <c r="D329">
        <v>0.87286688700000004</v>
      </c>
      <c r="E329" t="s">
        <v>56</v>
      </c>
      <c r="F329">
        <v>3.5117378829999999</v>
      </c>
      <c r="G329">
        <v>3.639258892</v>
      </c>
      <c r="H329">
        <v>0.96495962099999999</v>
      </c>
      <c r="I329">
        <v>0.33678225000000001</v>
      </c>
    </row>
    <row r="330" spans="2:9" x14ac:dyDescent="0.2">
      <c r="B330">
        <v>21</v>
      </c>
      <c r="C330" t="s">
        <v>17</v>
      </c>
      <c r="D330">
        <v>0.87286688700000004</v>
      </c>
      <c r="E330" t="s">
        <v>57</v>
      </c>
      <c r="F330">
        <v>0.23243243</v>
      </c>
    </row>
    <row r="331" spans="2:9" x14ac:dyDescent="0.2">
      <c r="B331">
        <v>21</v>
      </c>
      <c r="C331" t="s">
        <v>17</v>
      </c>
      <c r="D331">
        <v>0.87286688700000004</v>
      </c>
      <c r="E331" t="s">
        <v>58</v>
      </c>
      <c r="F331">
        <v>-0.432703803</v>
      </c>
    </row>
    <row r="332" spans="2:9" x14ac:dyDescent="0.2">
      <c r="B332">
        <v>21</v>
      </c>
      <c r="C332" t="s">
        <v>17</v>
      </c>
      <c r="D332">
        <v>0.87286688700000004</v>
      </c>
      <c r="E332" t="s">
        <v>59</v>
      </c>
      <c r="F332">
        <v>0.200271373</v>
      </c>
    </row>
    <row r="333" spans="2:9" x14ac:dyDescent="0.2">
      <c r="B333">
        <v>21</v>
      </c>
      <c r="C333" t="s">
        <v>17</v>
      </c>
      <c r="D333">
        <v>0.87286688700000004</v>
      </c>
      <c r="E333" t="s">
        <v>36</v>
      </c>
      <c r="F333">
        <v>3.9830215569999998</v>
      </c>
      <c r="G333">
        <v>1.1656244929999999</v>
      </c>
      <c r="H333">
        <v>3.4170709179999998</v>
      </c>
      <c r="I333">
        <v>9.0160499999999998E-4</v>
      </c>
    </row>
    <row r="334" spans="2:9" x14ac:dyDescent="0.2">
      <c r="B334">
        <v>21</v>
      </c>
      <c r="C334" t="s">
        <v>17</v>
      </c>
      <c r="D334">
        <v>0.87286688700000004</v>
      </c>
      <c r="E334" t="s">
        <v>60</v>
      </c>
      <c r="F334">
        <v>0.38977611699999998</v>
      </c>
      <c r="G334">
        <v>0.23891320899999999</v>
      </c>
      <c r="H334">
        <v>1.631454862</v>
      </c>
      <c r="I334">
        <v>0.105790219</v>
      </c>
    </row>
    <row r="335" spans="2:9" x14ac:dyDescent="0.2">
      <c r="B335">
        <v>21</v>
      </c>
      <c r="C335" t="s">
        <v>17</v>
      </c>
      <c r="D335">
        <v>0.87286688700000004</v>
      </c>
      <c r="E335" t="s">
        <v>61</v>
      </c>
      <c r="F335">
        <v>-6.2532121999999996E-2</v>
      </c>
      <c r="G335">
        <v>6365980.2139999997</v>
      </c>
      <c r="H335" s="1">
        <v>-9.8199999999999996E-9</v>
      </c>
      <c r="I335">
        <v>0.999999992</v>
      </c>
    </row>
    <row r="336" spans="2:9" x14ac:dyDescent="0.2">
      <c r="B336">
        <v>21</v>
      </c>
      <c r="C336" t="s">
        <v>17</v>
      </c>
      <c r="D336">
        <v>0.87286688700000004</v>
      </c>
      <c r="E336" t="s">
        <v>70</v>
      </c>
      <c r="F336">
        <v>6.2532121999999996E-2</v>
      </c>
      <c r="G336">
        <v>6365980.2139999997</v>
      </c>
      <c r="H336" s="1">
        <v>9.8199999999999996E-9</v>
      </c>
      <c r="I336">
        <v>0.999999992</v>
      </c>
    </row>
    <row r="337" spans="2:9" x14ac:dyDescent="0.2">
      <c r="B337">
        <v>21</v>
      </c>
      <c r="C337" t="s">
        <v>17</v>
      </c>
      <c r="D337">
        <v>0.87286688700000004</v>
      </c>
      <c r="E337" t="s">
        <v>63</v>
      </c>
      <c r="F337">
        <v>37.297785930000003</v>
      </c>
    </row>
    <row r="338" spans="2:9" x14ac:dyDescent="0.2">
      <c r="B338">
        <v>22</v>
      </c>
      <c r="C338" t="s">
        <v>9</v>
      </c>
      <c r="D338">
        <v>0.70346403599999996</v>
      </c>
      <c r="E338" t="s">
        <v>49</v>
      </c>
      <c r="F338">
        <v>-109683.0717</v>
      </c>
      <c r="G338">
        <v>15375.69706</v>
      </c>
      <c r="H338">
        <v>-7.1335349060000004</v>
      </c>
      <c r="I338" s="1">
        <v>1.2999999999999999E-10</v>
      </c>
    </row>
    <row r="339" spans="2:9" x14ac:dyDescent="0.2">
      <c r="B339">
        <v>22</v>
      </c>
      <c r="C339" t="s">
        <v>9</v>
      </c>
      <c r="D339">
        <v>0.70346403599999996</v>
      </c>
      <c r="E339" t="s">
        <v>50</v>
      </c>
      <c r="F339">
        <v>35294.466460000003</v>
      </c>
      <c r="G339">
        <v>15971.648139999999</v>
      </c>
      <c r="H339">
        <v>2.2098199360000002</v>
      </c>
      <c r="I339">
        <v>2.9288723999999999E-2</v>
      </c>
    </row>
    <row r="340" spans="2:9" x14ac:dyDescent="0.2">
      <c r="B340">
        <v>22</v>
      </c>
      <c r="C340" t="s">
        <v>9</v>
      </c>
      <c r="D340">
        <v>0.70346403599999996</v>
      </c>
      <c r="E340" t="s">
        <v>51</v>
      </c>
      <c r="F340">
        <v>315593.77750000003</v>
      </c>
      <c r="G340">
        <v>77902.084010000006</v>
      </c>
      <c r="H340">
        <v>4.0511596250000004</v>
      </c>
      <c r="I340" s="1">
        <v>9.7899999999999994E-5</v>
      </c>
    </row>
    <row r="341" spans="2:9" x14ac:dyDescent="0.2">
      <c r="B341">
        <v>22</v>
      </c>
      <c r="C341" t="s">
        <v>9</v>
      </c>
      <c r="D341">
        <v>0.70346403599999996</v>
      </c>
      <c r="E341" t="s">
        <v>52</v>
      </c>
      <c r="F341">
        <v>14203.743549999999</v>
      </c>
      <c r="G341">
        <v>15419.36823</v>
      </c>
      <c r="H341">
        <v>0.92116248499999998</v>
      </c>
      <c r="I341">
        <v>0.35907724299999999</v>
      </c>
    </row>
    <row r="342" spans="2:9" x14ac:dyDescent="0.2">
      <c r="B342">
        <v>22</v>
      </c>
      <c r="C342" t="s">
        <v>9</v>
      </c>
      <c r="D342">
        <v>0.70346403599999996</v>
      </c>
      <c r="E342" t="s">
        <v>53</v>
      </c>
      <c r="F342">
        <v>162196.14199999999</v>
      </c>
      <c r="G342">
        <v>15649.03046</v>
      </c>
      <c r="H342">
        <v>10.364612839999999</v>
      </c>
      <c r="I342">
        <v>0</v>
      </c>
    </row>
    <row r="343" spans="2:9" x14ac:dyDescent="0.2">
      <c r="B343">
        <v>22</v>
      </c>
      <c r="C343" t="s">
        <v>9</v>
      </c>
      <c r="D343">
        <v>0.70346403599999996</v>
      </c>
      <c r="E343" t="s">
        <v>54</v>
      </c>
      <c r="F343">
        <v>46638.830719999998</v>
      </c>
      <c r="G343">
        <v>15464.275100000001</v>
      </c>
      <c r="H343">
        <v>3.015907983</v>
      </c>
      <c r="I343">
        <v>3.2137569999999998E-3</v>
      </c>
    </row>
    <row r="344" spans="2:9" x14ac:dyDescent="0.2">
      <c r="B344">
        <v>22</v>
      </c>
      <c r="C344" t="s">
        <v>9</v>
      </c>
      <c r="D344">
        <v>0.70346403599999996</v>
      </c>
      <c r="E344" t="s">
        <v>55</v>
      </c>
      <c r="F344">
        <v>15924.28773</v>
      </c>
      <c r="G344">
        <v>30994.832109999999</v>
      </c>
      <c r="H344">
        <v>0.51377234999999999</v>
      </c>
      <c r="I344">
        <v>0.60849066399999996</v>
      </c>
    </row>
    <row r="345" spans="2:9" x14ac:dyDescent="0.2">
      <c r="B345">
        <v>22</v>
      </c>
      <c r="C345" t="s">
        <v>9</v>
      </c>
      <c r="D345">
        <v>0.70346403599999996</v>
      </c>
      <c r="E345" t="s">
        <v>56</v>
      </c>
      <c r="F345">
        <v>-283305.72169999999</v>
      </c>
      <c r="G345">
        <v>156254.62770000001</v>
      </c>
      <c r="H345">
        <v>-1.81310292</v>
      </c>
      <c r="I345">
        <v>7.2672826999999995E-2</v>
      </c>
    </row>
    <row r="346" spans="2:9" x14ac:dyDescent="0.2">
      <c r="B346">
        <v>22</v>
      </c>
      <c r="C346" t="s">
        <v>9</v>
      </c>
      <c r="D346">
        <v>0.70346403599999996</v>
      </c>
      <c r="E346" t="s">
        <v>57</v>
      </c>
      <c r="F346">
        <v>703.13357989999997</v>
      </c>
    </row>
    <row r="347" spans="2:9" x14ac:dyDescent="0.2">
      <c r="B347">
        <v>22</v>
      </c>
      <c r="C347" t="s">
        <v>9</v>
      </c>
      <c r="D347">
        <v>0.70346403599999996</v>
      </c>
      <c r="E347" t="s">
        <v>58</v>
      </c>
      <c r="F347">
        <v>2748.2560600000002</v>
      </c>
    </row>
    <row r="348" spans="2:9" x14ac:dyDescent="0.2">
      <c r="B348">
        <v>22</v>
      </c>
      <c r="C348" t="s">
        <v>9</v>
      </c>
      <c r="D348">
        <v>0.70346403599999996</v>
      </c>
      <c r="E348" t="s">
        <v>59</v>
      </c>
      <c r="F348">
        <v>-3451.3896399999999</v>
      </c>
    </row>
    <row r="349" spans="2:9" x14ac:dyDescent="0.2">
      <c r="B349">
        <v>22</v>
      </c>
      <c r="C349" t="s">
        <v>9</v>
      </c>
      <c r="D349">
        <v>0.70346403599999996</v>
      </c>
      <c r="E349" t="s">
        <v>36</v>
      </c>
      <c r="F349">
        <v>-190461.39240000001</v>
      </c>
      <c r="G349">
        <v>50047.063580000002</v>
      </c>
      <c r="H349">
        <v>-3.8056457020000001</v>
      </c>
      <c r="I349">
        <v>2.3810199999999999E-4</v>
      </c>
    </row>
    <row r="350" spans="2:9" x14ac:dyDescent="0.2">
      <c r="B350">
        <v>22</v>
      </c>
      <c r="C350" t="s">
        <v>9</v>
      </c>
      <c r="D350">
        <v>0.70346403599999996</v>
      </c>
      <c r="E350" t="s">
        <v>60</v>
      </c>
      <c r="F350">
        <v>-8251.4813119999999</v>
      </c>
      <c r="G350">
        <v>10257.938679999999</v>
      </c>
      <c r="H350">
        <v>-0.80439955500000004</v>
      </c>
      <c r="I350">
        <v>0.42298380899999999</v>
      </c>
    </row>
    <row r="351" spans="2:9" x14ac:dyDescent="0.2">
      <c r="B351">
        <v>22</v>
      </c>
      <c r="C351" t="s">
        <v>9</v>
      </c>
      <c r="D351">
        <v>0.70346403599999996</v>
      </c>
      <c r="E351" t="s">
        <v>61</v>
      </c>
      <c r="F351">
        <v>-786.09797490000005</v>
      </c>
      <c r="G351" s="1">
        <v>273329000000</v>
      </c>
      <c r="H351" s="1">
        <v>-2.88E-9</v>
      </c>
      <c r="I351">
        <v>0.99999999799999995</v>
      </c>
    </row>
    <row r="352" spans="2:9" x14ac:dyDescent="0.2">
      <c r="B352">
        <v>22</v>
      </c>
      <c r="C352" t="s">
        <v>9</v>
      </c>
      <c r="D352">
        <v>0.70346403599999996</v>
      </c>
      <c r="E352" t="s">
        <v>70</v>
      </c>
      <c r="F352">
        <v>786.09797490000005</v>
      </c>
      <c r="G352" s="1">
        <v>273329000000</v>
      </c>
      <c r="H352" s="1">
        <v>2.88E-9</v>
      </c>
      <c r="I352">
        <v>0.99999999799999995</v>
      </c>
    </row>
    <row r="353" spans="2:9" x14ac:dyDescent="0.2">
      <c r="B353">
        <v>22</v>
      </c>
      <c r="C353" t="s">
        <v>9</v>
      </c>
      <c r="D353">
        <v>0.70346403599999996</v>
      </c>
      <c r="E353" t="s">
        <v>63</v>
      </c>
      <c r="F353">
        <v>620152.78029999998</v>
      </c>
    </row>
    <row r="354" spans="2:9" x14ac:dyDescent="0.2">
      <c r="B354">
        <v>23</v>
      </c>
      <c r="C354" t="s">
        <v>76</v>
      </c>
      <c r="D354">
        <v>0.51448959900000002</v>
      </c>
      <c r="E354" t="s">
        <v>49</v>
      </c>
      <c r="F354">
        <v>-8.4070919999999993E-2</v>
      </c>
      <c r="G354">
        <v>1.162534E-2</v>
      </c>
      <c r="H354">
        <v>-7.2316957930000001</v>
      </c>
      <c r="I354" s="1">
        <v>8.0599999999999998E-11</v>
      </c>
    </row>
    <row r="355" spans="2:9" x14ac:dyDescent="0.2">
      <c r="B355">
        <v>23</v>
      </c>
      <c r="C355" t="s">
        <v>76</v>
      </c>
      <c r="D355">
        <v>0.51448959900000002</v>
      </c>
      <c r="E355" t="s">
        <v>50</v>
      </c>
      <c r="F355">
        <v>3.2453784999999999E-2</v>
      </c>
      <c r="G355">
        <v>1.207593E-2</v>
      </c>
      <c r="H355">
        <v>2.687477168</v>
      </c>
      <c r="I355">
        <v>8.3727209999999996E-3</v>
      </c>
    </row>
    <row r="356" spans="2:9" x14ac:dyDescent="0.2">
      <c r="B356">
        <v>23</v>
      </c>
      <c r="C356" t="s">
        <v>76</v>
      </c>
      <c r="D356">
        <v>0.51448959900000002</v>
      </c>
      <c r="E356" t="s">
        <v>51</v>
      </c>
      <c r="F356">
        <v>0.248985973</v>
      </c>
      <c r="G356">
        <v>5.8900626999999997E-2</v>
      </c>
      <c r="H356">
        <v>4.2272211210000004</v>
      </c>
      <c r="I356" s="1">
        <v>5.0599999999999997E-5</v>
      </c>
    </row>
    <row r="357" spans="2:9" x14ac:dyDescent="0.2">
      <c r="B357">
        <v>23</v>
      </c>
      <c r="C357" t="s">
        <v>76</v>
      </c>
      <c r="D357">
        <v>0.51448959900000002</v>
      </c>
      <c r="E357" t="s">
        <v>52</v>
      </c>
      <c r="F357">
        <v>4.568651E-3</v>
      </c>
      <c r="G357">
        <v>1.1658359E-2</v>
      </c>
      <c r="H357">
        <v>0.39187775200000002</v>
      </c>
      <c r="I357">
        <v>0.69594277199999999</v>
      </c>
    </row>
    <row r="358" spans="2:9" x14ac:dyDescent="0.2">
      <c r="B358">
        <v>23</v>
      </c>
      <c r="C358" t="s">
        <v>76</v>
      </c>
      <c r="D358">
        <v>0.51448959900000002</v>
      </c>
      <c r="E358" t="s">
        <v>53</v>
      </c>
      <c r="F358">
        <v>-1.0565178999999999E-2</v>
      </c>
      <c r="G358">
        <v>1.1832003000000001E-2</v>
      </c>
      <c r="H358">
        <v>-0.89293236600000003</v>
      </c>
      <c r="I358">
        <v>0.373935342</v>
      </c>
    </row>
    <row r="359" spans="2:9" x14ac:dyDescent="0.2">
      <c r="B359">
        <v>23</v>
      </c>
      <c r="C359" t="s">
        <v>76</v>
      </c>
      <c r="D359">
        <v>0.51448959900000002</v>
      </c>
      <c r="E359" t="s">
        <v>54</v>
      </c>
      <c r="F359">
        <v>3.5685109999999999E-2</v>
      </c>
      <c r="G359">
        <v>1.1692312E-2</v>
      </c>
      <c r="H359">
        <v>3.0520148159999998</v>
      </c>
      <c r="I359">
        <v>2.879253E-3</v>
      </c>
    </row>
    <row r="360" spans="2:9" x14ac:dyDescent="0.2">
      <c r="B360">
        <v>23</v>
      </c>
      <c r="C360" t="s">
        <v>76</v>
      </c>
      <c r="D360">
        <v>0.51448959900000002</v>
      </c>
      <c r="E360" t="s">
        <v>55</v>
      </c>
      <c r="F360">
        <v>1.0998228000000001E-2</v>
      </c>
      <c r="G360">
        <v>2.3434739E-2</v>
      </c>
      <c r="H360">
        <v>0.46931299399999998</v>
      </c>
      <c r="I360">
        <v>0.63981900700000005</v>
      </c>
    </row>
    <row r="361" spans="2:9" x14ac:dyDescent="0.2">
      <c r="B361">
        <v>23</v>
      </c>
      <c r="C361" t="s">
        <v>76</v>
      </c>
      <c r="D361">
        <v>0.51448959900000002</v>
      </c>
      <c r="E361" t="s">
        <v>56</v>
      </c>
      <c r="F361">
        <v>-0.19265907199999999</v>
      </c>
      <c r="G361">
        <v>0.118141839</v>
      </c>
      <c r="H361">
        <v>-1.6307438000000001</v>
      </c>
      <c r="I361">
        <v>0.105940485</v>
      </c>
    </row>
    <row r="362" spans="2:9" x14ac:dyDescent="0.2">
      <c r="B362">
        <v>23</v>
      </c>
      <c r="C362" t="s">
        <v>76</v>
      </c>
      <c r="D362">
        <v>0.51448959900000002</v>
      </c>
      <c r="E362" t="s">
        <v>57</v>
      </c>
      <c r="F362">
        <v>1.13671E-4</v>
      </c>
    </row>
    <row r="363" spans="2:9" x14ac:dyDescent="0.2">
      <c r="B363">
        <v>23</v>
      </c>
      <c r="C363" t="s">
        <v>76</v>
      </c>
      <c r="D363">
        <v>0.51448959900000002</v>
      </c>
      <c r="E363" t="s">
        <v>58</v>
      </c>
      <c r="F363">
        <v>3.9295600000000002E-4</v>
      </c>
    </row>
    <row r="364" spans="2:9" x14ac:dyDescent="0.2">
      <c r="B364">
        <v>23</v>
      </c>
      <c r="C364" t="s">
        <v>76</v>
      </c>
      <c r="D364">
        <v>0.51448959900000002</v>
      </c>
      <c r="E364" t="s">
        <v>59</v>
      </c>
      <c r="F364">
        <v>-5.0662700000000005E-4</v>
      </c>
    </row>
    <row r="365" spans="2:9" x14ac:dyDescent="0.2">
      <c r="B365">
        <v>23</v>
      </c>
      <c r="C365" t="s">
        <v>76</v>
      </c>
      <c r="D365">
        <v>0.51448959900000002</v>
      </c>
      <c r="E365" t="s">
        <v>36</v>
      </c>
      <c r="F365">
        <v>-0.14949268900000001</v>
      </c>
      <c r="G365">
        <v>3.7839853E-2</v>
      </c>
      <c r="H365">
        <v>-3.9506678019999999</v>
      </c>
      <c r="I365">
        <v>1.41435E-4</v>
      </c>
    </row>
    <row r="366" spans="2:9" x14ac:dyDescent="0.2">
      <c r="B366">
        <v>23</v>
      </c>
      <c r="C366" t="s">
        <v>76</v>
      </c>
      <c r="D366">
        <v>0.51448959900000002</v>
      </c>
      <c r="E366" t="s">
        <v>60</v>
      </c>
      <c r="F366">
        <v>-1.0292954999999999E-2</v>
      </c>
      <c r="G366">
        <v>7.7558770000000004E-3</v>
      </c>
      <c r="H366">
        <v>-1.3271167319999999</v>
      </c>
      <c r="I366">
        <v>0.18734868399999999</v>
      </c>
    </row>
    <row r="367" spans="2:9" x14ac:dyDescent="0.2">
      <c r="B367">
        <v>23</v>
      </c>
      <c r="C367" t="s">
        <v>76</v>
      </c>
      <c r="D367">
        <v>0.51448959900000002</v>
      </c>
      <c r="E367" t="s">
        <v>61</v>
      </c>
      <c r="F367">
        <v>1.8659869999999999E-3</v>
      </c>
      <c r="G367">
        <v>206659.82639999999</v>
      </c>
      <c r="H367" s="1">
        <v>9.0300000000000005E-9</v>
      </c>
      <c r="I367">
        <v>0.99999999299999998</v>
      </c>
    </row>
    <row r="368" spans="2:9" x14ac:dyDescent="0.2">
      <c r="B368">
        <v>23</v>
      </c>
      <c r="C368" t="s">
        <v>76</v>
      </c>
      <c r="D368">
        <v>0.51448959900000002</v>
      </c>
      <c r="E368" t="s">
        <v>70</v>
      </c>
      <c r="F368">
        <v>-1.8659869999999999E-3</v>
      </c>
      <c r="G368">
        <v>206659.82639999999</v>
      </c>
      <c r="H368" s="1">
        <v>-9.0300000000000005E-9</v>
      </c>
      <c r="I368">
        <v>0.99999999299999998</v>
      </c>
    </row>
    <row r="369" spans="2:9" x14ac:dyDescent="0.2">
      <c r="B369">
        <v>23</v>
      </c>
      <c r="C369" t="s">
        <v>76</v>
      </c>
      <c r="D369">
        <v>0.51448959900000002</v>
      </c>
      <c r="E369" t="s">
        <v>63</v>
      </c>
      <c r="F369">
        <v>0.55710016100000004</v>
      </c>
    </row>
    <row r="370" spans="2:9" x14ac:dyDescent="0.2">
      <c r="B370">
        <v>24</v>
      </c>
      <c r="C370" t="s">
        <v>7</v>
      </c>
      <c r="D370">
        <v>0.66936032499999998</v>
      </c>
      <c r="E370" t="s">
        <v>49</v>
      </c>
      <c r="F370">
        <v>863246.2892</v>
      </c>
      <c r="G370">
        <v>473776.05379999999</v>
      </c>
      <c r="H370">
        <v>1.8220555519999999</v>
      </c>
      <c r="I370">
        <v>7.1293012000000003E-2</v>
      </c>
    </row>
    <row r="371" spans="2:9" x14ac:dyDescent="0.2">
      <c r="B371">
        <v>24</v>
      </c>
      <c r="C371" t="s">
        <v>7</v>
      </c>
      <c r="D371">
        <v>0.66936032499999998</v>
      </c>
      <c r="E371" t="s">
        <v>50</v>
      </c>
      <c r="F371">
        <v>1089655.3799999999</v>
      </c>
      <c r="G371">
        <v>492139.27639999997</v>
      </c>
      <c r="H371">
        <v>2.2141199299999998</v>
      </c>
      <c r="I371">
        <v>2.8982502E-2</v>
      </c>
    </row>
    <row r="372" spans="2:9" x14ac:dyDescent="0.2">
      <c r="B372">
        <v>24</v>
      </c>
      <c r="C372" t="s">
        <v>7</v>
      </c>
      <c r="D372">
        <v>0.66936032499999998</v>
      </c>
      <c r="E372" t="s">
        <v>51</v>
      </c>
      <c r="F372">
        <v>12340583.41</v>
      </c>
      <c r="G372">
        <v>2400420.7280000001</v>
      </c>
      <c r="H372">
        <v>5.1410085179999996</v>
      </c>
      <c r="I372" s="1">
        <v>1.2699999999999999E-6</v>
      </c>
    </row>
    <row r="373" spans="2:9" x14ac:dyDescent="0.2">
      <c r="B373">
        <v>24</v>
      </c>
      <c r="C373" t="s">
        <v>7</v>
      </c>
      <c r="D373">
        <v>0.66936032499999998</v>
      </c>
      <c r="E373" t="s">
        <v>52</v>
      </c>
      <c r="F373">
        <v>141618.5575</v>
      </c>
      <c r="G373">
        <v>475121.70699999999</v>
      </c>
      <c r="H373">
        <v>0.29806795899999999</v>
      </c>
      <c r="I373">
        <v>0.76624030200000004</v>
      </c>
    </row>
    <row r="374" spans="2:9" x14ac:dyDescent="0.2">
      <c r="B374">
        <v>24</v>
      </c>
      <c r="C374" t="s">
        <v>7</v>
      </c>
      <c r="D374">
        <v>0.66936032499999998</v>
      </c>
      <c r="E374" t="s">
        <v>53</v>
      </c>
      <c r="F374">
        <v>4805951.352</v>
      </c>
      <c r="G374">
        <v>482198.35940000002</v>
      </c>
      <c r="H374">
        <v>9.9667517710000002</v>
      </c>
      <c r="I374">
        <v>0</v>
      </c>
    </row>
    <row r="375" spans="2:9" x14ac:dyDescent="0.2">
      <c r="B375">
        <v>24</v>
      </c>
      <c r="C375" t="s">
        <v>7</v>
      </c>
      <c r="D375">
        <v>0.66936032499999998</v>
      </c>
      <c r="E375" t="s">
        <v>54</v>
      </c>
      <c r="F375">
        <v>2165614.2710000002</v>
      </c>
      <c r="G375">
        <v>476505.43589999998</v>
      </c>
      <c r="H375">
        <v>4.544783979</v>
      </c>
      <c r="I375" s="1">
        <v>1.4800000000000001E-5</v>
      </c>
    </row>
    <row r="376" spans="2:9" x14ac:dyDescent="0.2">
      <c r="B376">
        <v>24</v>
      </c>
      <c r="C376" t="s">
        <v>7</v>
      </c>
      <c r="D376">
        <v>0.66936032499999998</v>
      </c>
      <c r="E376" t="s">
        <v>55</v>
      </c>
      <c r="F376">
        <v>491352.43890000001</v>
      </c>
      <c r="G376">
        <v>955053.23670000001</v>
      </c>
      <c r="H376">
        <v>0.51447649200000001</v>
      </c>
      <c r="I376">
        <v>0.60800010000000004</v>
      </c>
    </row>
    <row r="377" spans="2:9" x14ac:dyDescent="0.2">
      <c r="B377">
        <v>24</v>
      </c>
      <c r="C377" t="s">
        <v>7</v>
      </c>
      <c r="D377">
        <v>0.66936032499999998</v>
      </c>
      <c r="E377" t="s">
        <v>56</v>
      </c>
      <c r="F377">
        <v>-8229059.8399999999</v>
      </c>
      <c r="G377">
        <v>4814721.608</v>
      </c>
      <c r="H377">
        <v>-1.7091455149999999</v>
      </c>
      <c r="I377">
        <v>9.0378106999999999E-2</v>
      </c>
    </row>
    <row r="378" spans="2:9" x14ac:dyDescent="0.2">
      <c r="B378">
        <v>24</v>
      </c>
      <c r="C378" t="s">
        <v>7</v>
      </c>
      <c r="D378">
        <v>0.66936032499999998</v>
      </c>
      <c r="E378" t="s">
        <v>57</v>
      </c>
      <c r="F378">
        <v>225753.38380000001</v>
      </c>
    </row>
    <row r="379" spans="2:9" x14ac:dyDescent="0.2">
      <c r="B379">
        <v>24</v>
      </c>
      <c r="C379" t="s">
        <v>7</v>
      </c>
      <c r="D379">
        <v>0.66936032499999998</v>
      </c>
      <c r="E379" t="s">
        <v>58</v>
      </c>
      <c r="F379">
        <v>-200251.1513</v>
      </c>
    </row>
    <row r="380" spans="2:9" x14ac:dyDescent="0.2">
      <c r="B380">
        <v>24</v>
      </c>
      <c r="C380" t="s">
        <v>7</v>
      </c>
      <c r="D380">
        <v>0.66936032499999998</v>
      </c>
      <c r="E380" t="s">
        <v>59</v>
      </c>
      <c r="F380">
        <v>-25502.23243</v>
      </c>
    </row>
    <row r="381" spans="2:9" x14ac:dyDescent="0.2">
      <c r="B381">
        <v>24</v>
      </c>
      <c r="C381" t="s">
        <v>7</v>
      </c>
      <c r="D381">
        <v>0.66936032499999998</v>
      </c>
      <c r="E381" t="s">
        <v>36</v>
      </c>
      <c r="F381">
        <v>-4893466.1880000001</v>
      </c>
      <c r="G381">
        <v>1542115.469</v>
      </c>
      <c r="H381">
        <v>-3.1732164589999998</v>
      </c>
      <c r="I381">
        <v>1.9778650000000001E-3</v>
      </c>
    </row>
    <row r="382" spans="2:9" x14ac:dyDescent="0.2">
      <c r="B382">
        <v>24</v>
      </c>
      <c r="C382" t="s">
        <v>7</v>
      </c>
      <c r="D382">
        <v>0.66936032499999998</v>
      </c>
      <c r="E382" t="s">
        <v>60</v>
      </c>
      <c r="F382">
        <v>-182342.9571</v>
      </c>
      <c r="G382">
        <v>316081.00030000001</v>
      </c>
      <c r="H382">
        <v>-0.576886801</v>
      </c>
      <c r="I382">
        <v>0.565250696</v>
      </c>
    </row>
    <row r="383" spans="2:9" x14ac:dyDescent="0.2">
      <c r="B383">
        <v>24</v>
      </c>
      <c r="C383" t="s">
        <v>7</v>
      </c>
      <c r="D383">
        <v>0.66936032499999998</v>
      </c>
      <c r="E383" t="s">
        <v>61</v>
      </c>
      <c r="F383">
        <v>-68556.263170000006</v>
      </c>
      <c r="G383" s="1">
        <v>8422160000000</v>
      </c>
      <c r="H383" s="1">
        <v>-8.1400000000000004E-9</v>
      </c>
      <c r="I383">
        <v>0.99999999399999995</v>
      </c>
    </row>
    <row r="384" spans="2:9" x14ac:dyDescent="0.2">
      <c r="B384">
        <v>24</v>
      </c>
      <c r="C384" t="s">
        <v>7</v>
      </c>
      <c r="D384">
        <v>0.66936032499999998</v>
      </c>
      <c r="E384" t="s">
        <v>70</v>
      </c>
      <c r="F384">
        <v>68556.263170000006</v>
      </c>
      <c r="G384" s="1">
        <v>8422160000000</v>
      </c>
      <c r="H384" s="1">
        <v>8.1400000000000004E-9</v>
      </c>
      <c r="I384">
        <v>0.99999999399999995</v>
      </c>
    </row>
    <row r="385" spans="2:9" x14ac:dyDescent="0.2">
      <c r="B385">
        <v>24</v>
      </c>
      <c r="C385" t="s">
        <v>7</v>
      </c>
      <c r="D385">
        <v>0.66936032499999998</v>
      </c>
      <c r="E385" t="s">
        <v>63</v>
      </c>
      <c r="F385">
        <v>22843903.850000001</v>
      </c>
    </row>
    <row r="386" spans="2:9" x14ac:dyDescent="0.2">
      <c r="B386">
        <v>25</v>
      </c>
      <c r="C386" t="s">
        <v>8</v>
      </c>
      <c r="D386">
        <v>0.56569349599999996</v>
      </c>
      <c r="E386" t="s">
        <v>49</v>
      </c>
      <c r="F386">
        <v>0.72760872300000001</v>
      </c>
      <c r="G386">
        <v>0.35798564199999999</v>
      </c>
      <c r="H386">
        <v>2.0325081159999998</v>
      </c>
      <c r="I386">
        <v>4.4626278999999998E-2</v>
      </c>
    </row>
    <row r="387" spans="2:9" x14ac:dyDescent="0.2">
      <c r="B387">
        <v>25</v>
      </c>
      <c r="C387" t="s">
        <v>8</v>
      </c>
      <c r="D387">
        <v>0.56569349599999996</v>
      </c>
      <c r="E387" t="s">
        <v>50</v>
      </c>
      <c r="F387">
        <v>1.0723942470000001</v>
      </c>
      <c r="G387">
        <v>0.37186091100000002</v>
      </c>
      <c r="H387">
        <v>2.8838584940000001</v>
      </c>
      <c r="I387">
        <v>4.7666360000000003E-3</v>
      </c>
    </row>
    <row r="388" spans="2:9" x14ac:dyDescent="0.2">
      <c r="B388">
        <v>25</v>
      </c>
      <c r="C388" t="s">
        <v>8</v>
      </c>
      <c r="D388">
        <v>0.56569349599999996</v>
      </c>
      <c r="E388" t="s">
        <v>51</v>
      </c>
      <c r="F388">
        <v>9.7471084440000002</v>
      </c>
      <c r="G388">
        <v>1.8137602129999999</v>
      </c>
      <c r="H388">
        <v>5.3739785309999997</v>
      </c>
      <c r="I388" s="1">
        <v>4.6699999999999999E-7</v>
      </c>
    </row>
    <row r="389" spans="2:9" x14ac:dyDescent="0.2">
      <c r="B389">
        <v>25</v>
      </c>
      <c r="C389" t="s">
        <v>8</v>
      </c>
      <c r="D389">
        <v>0.56569349599999996</v>
      </c>
      <c r="E389" t="s">
        <v>52</v>
      </c>
      <c r="F389">
        <v>-0.12289206699999999</v>
      </c>
      <c r="G389">
        <v>0.35900241900000002</v>
      </c>
      <c r="H389">
        <v>-0.34231542799999998</v>
      </c>
      <c r="I389">
        <v>0.73279778699999998</v>
      </c>
    </row>
    <row r="390" spans="2:9" x14ac:dyDescent="0.2">
      <c r="B390">
        <v>25</v>
      </c>
      <c r="C390" t="s">
        <v>8</v>
      </c>
      <c r="D390">
        <v>0.56569349599999996</v>
      </c>
      <c r="E390" t="s">
        <v>53</v>
      </c>
      <c r="F390">
        <v>-1.8815962020000001</v>
      </c>
      <c r="G390">
        <v>0.36434954400000003</v>
      </c>
      <c r="H390">
        <v>-5.1642611619999998</v>
      </c>
      <c r="I390" s="1">
        <v>1.15E-6</v>
      </c>
    </row>
    <row r="391" spans="2:9" x14ac:dyDescent="0.2">
      <c r="B391">
        <v>25</v>
      </c>
      <c r="C391" t="s">
        <v>8</v>
      </c>
      <c r="D391">
        <v>0.56569349599999996</v>
      </c>
      <c r="E391" t="s">
        <v>54</v>
      </c>
      <c r="F391">
        <v>1.6421749889999999</v>
      </c>
      <c r="G391">
        <v>0.360047966</v>
      </c>
      <c r="H391">
        <v>4.560989491</v>
      </c>
      <c r="I391" s="1">
        <v>1.38E-5</v>
      </c>
    </row>
    <row r="392" spans="2:9" x14ac:dyDescent="0.2">
      <c r="B392">
        <v>25</v>
      </c>
      <c r="C392" t="s">
        <v>8</v>
      </c>
      <c r="D392">
        <v>0.56569349599999996</v>
      </c>
      <c r="E392" t="s">
        <v>55</v>
      </c>
      <c r="F392">
        <v>0.36971412300000001</v>
      </c>
      <c r="G392">
        <v>0.72163914500000004</v>
      </c>
      <c r="H392">
        <v>0.51232548300000003</v>
      </c>
      <c r="I392">
        <v>0.609499232</v>
      </c>
    </row>
    <row r="393" spans="2:9" x14ac:dyDescent="0.2">
      <c r="B393">
        <v>25</v>
      </c>
      <c r="C393" t="s">
        <v>8</v>
      </c>
      <c r="D393">
        <v>0.56569349599999996</v>
      </c>
      <c r="E393" t="s">
        <v>56</v>
      </c>
      <c r="F393">
        <v>-5.5298364969999998</v>
      </c>
      <c r="G393">
        <v>3.6380082809999998</v>
      </c>
      <c r="H393">
        <v>-1.520017567</v>
      </c>
      <c r="I393">
        <v>0.13151217300000001</v>
      </c>
    </row>
    <row r="394" spans="2:9" x14ac:dyDescent="0.2">
      <c r="B394">
        <v>25</v>
      </c>
      <c r="C394" t="s">
        <v>8</v>
      </c>
      <c r="D394">
        <v>0.56569349599999996</v>
      </c>
      <c r="E394" t="s">
        <v>57</v>
      </c>
      <c r="F394">
        <v>0.163343657</v>
      </c>
    </row>
    <row r="395" spans="2:9" x14ac:dyDescent="0.2">
      <c r="B395">
        <v>25</v>
      </c>
      <c r="C395" t="s">
        <v>8</v>
      </c>
      <c r="D395">
        <v>0.56569349599999996</v>
      </c>
      <c r="E395" t="s">
        <v>58</v>
      </c>
      <c r="F395">
        <v>-0.22556720699999999</v>
      </c>
    </row>
    <row r="396" spans="2:9" x14ac:dyDescent="0.2">
      <c r="B396">
        <v>25</v>
      </c>
      <c r="C396" t="s">
        <v>8</v>
      </c>
      <c r="D396">
        <v>0.56569349599999996</v>
      </c>
      <c r="E396" t="s">
        <v>59</v>
      </c>
      <c r="F396">
        <v>6.2223550000000002E-2</v>
      </c>
    </row>
    <row r="397" spans="2:9" x14ac:dyDescent="0.2">
      <c r="B397">
        <v>25</v>
      </c>
      <c r="C397" t="s">
        <v>8</v>
      </c>
      <c r="D397">
        <v>0.56569349599999996</v>
      </c>
      <c r="E397" t="s">
        <v>36</v>
      </c>
      <c r="F397">
        <v>-4.0355829500000002</v>
      </c>
      <c r="G397">
        <v>1.165223933</v>
      </c>
      <c r="H397">
        <v>-3.4633539839999998</v>
      </c>
      <c r="I397">
        <v>7.7327400000000001E-4</v>
      </c>
    </row>
    <row r="398" spans="2:9" x14ac:dyDescent="0.2">
      <c r="B398">
        <v>25</v>
      </c>
      <c r="C398" t="s">
        <v>8</v>
      </c>
      <c r="D398">
        <v>0.56569349599999996</v>
      </c>
      <c r="E398" t="s">
        <v>60</v>
      </c>
      <c r="F398">
        <v>-0.30814881399999999</v>
      </c>
      <c r="G398">
        <v>0.23883110799999999</v>
      </c>
      <c r="H398">
        <v>-1.2902373410000001</v>
      </c>
      <c r="I398">
        <v>0.19980244999999999</v>
      </c>
    </row>
    <row r="399" spans="2:9" x14ac:dyDescent="0.2">
      <c r="B399">
        <v>25</v>
      </c>
      <c r="C399" t="s">
        <v>8</v>
      </c>
      <c r="D399">
        <v>0.56569349599999996</v>
      </c>
      <c r="E399" t="s">
        <v>61</v>
      </c>
      <c r="F399">
        <v>3.8843176E-2</v>
      </c>
      <c r="G399">
        <v>6363792.5800000001</v>
      </c>
      <c r="H399" s="1">
        <v>6.1E-9</v>
      </c>
      <c r="I399">
        <v>0.99999999500000003</v>
      </c>
    </row>
    <row r="400" spans="2:9" x14ac:dyDescent="0.2">
      <c r="B400">
        <v>25</v>
      </c>
      <c r="C400" t="s">
        <v>8</v>
      </c>
      <c r="D400">
        <v>0.56569349599999996</v>
      </c>
      <c r="E400" t="s">
        <v>70</v>
      </c>
      <c r="F400">
        <v>-3.8843176E-2</v>
      </c>
      <c r="G400">
        <v>6363792.5800000001</v>
      </c>
      <c r="H400" s="1">
        <v>-6.1E-9</v>
      </c>
      <c r="I400">
        <v>0.99999999500000003</v>
      </c>
    </row>
    <row r="401" spans="2:9" x14ac:dyDescent="0.2">
      <c r="B401">
        <v>25</v>
      </c>
      <c r="C401" t="s">
        <v>8</v>
      </c>
      <c r="D401">
        <v>0.56569349599999996</v>
      </c>
      <c r="E401" t="s">
        <v>63</v>
      </c>
      <c r="F401">
        <v>20.917031229999999</v>
      </c>
    </row>
    <row r="402" spans="2:9" x14ac:dyDescent="0.2">
      <c r="B402">
        <v>26</v>
      </c>
      <c r="C402" t="s">
        <v>21</v>
      </c>
      <c r="D402">
        <v>0.92237537199999997</v>
      </c>
      <c r="E402" t="s">
        <v>49</v>
      </c>
      <c r="F402">
        <v>917.002388</v>
      </c>
      <c r="G402">
        <v>1672.6269090000001</v>
      </c>
      <c r="H402">
        <v>0.54824084399999995</v>
      </c>
      <c r="I402">
        <v>0.58469027200000001</v>
      </c>
    </row>
    <row r="403" spans="2:9" x14ac:dyDescent="0.2">
      <c r="B403">
        <v>26</v>
      </c>
      <c r="C403" t="s">
        <v>21</v>
      </c>
      <c r="D403">
        <v>0.92237537199999997</v>
      </c>
      <c r="E403" t="s">
        <v>50</v>
      </c>
      <c r="F403">
        <v>-1340.1155289999999</v>
      </c>
      <c r="G403">
        <v>1737.456737</v>
      </c>
      <c r="H403">
        <v>-0.771308718</v>
      </c>
      <c r="I403">
        <v>0.44225626699999998</v>
      </c>
    </row>
    <row r="404" spans="2:9" x14ac:dyDescent="0.2">
      <c r="B404">
        <v>26</v>
      </c>
      <c r="C404" t="s">
        <v>21</v>
      </c>
      <c r="D404">
        <v>0.92237537199999997</v>
      </c>
      <c r="E404" t="s">
        <v>51</v>
      </c>
      <c r="F404">
        <v>-4104.4516910000002</v>
      </c>
      <c r="G404">
        <v>8474.4855100000004</v>
      </c>
      <c r="H404">
        <v>-0.48433048699999998</v>
      </c>
      <c r="I404">
        <v>0.62916007699999998</v>
      </c>
    </row>
    <row r="405" spans="2:9" x14ac:dyDescent="0.2">
      <c r="B405">
        <v>26</v>
      </c>
      <c r="C405" t="s">
        <v>21</v>
      </c>
      <c r="D405">
        <v>0.92237537199999997</v>
      </c>
      <c r="E405" t="s">
        <v>52</v>
      </c>
      <c r="F405">
        <v>7059.9363219999996</v>
      </c>
      <c r="G405">
        <v>1677.3776250000001</v>
      </c>
      <c r="H405">
        <v>4.2089128980000003</v>
      </c>
      <c r="I405" s="1">
        <v>5.4299999999999998E-5</v>
      </c>
    </row>
    <row r="406" spans="2:9" x14ac:dyDescent="0.2">
      <c r="B406">
        <v>26</v>
      </c>
      <c r="C406" t="s">
        <v>21</v>
      </c>
      <c r="D406">
        <v>0.92237537199999997</v>
      </c>
      <c r="E406" t="s">
        <v>53</v>
      </c>
      <c r="F406">
        <v>725.73673180000003</v>
      </c>
      <c r="G406">
        <v>1702.361157</v>
      </c>
      <c r="H406">
        <v>0.42631184799999999</v>
      </c>
      <c r="I406">
        <v>0.67075333400000003</v>
      </c>
    </row>
    <row r="407" spans="2:9" x14ac:dyDescent="0.2">
      <c r="B407">
        <v>26</v>
      </c>
      <c r="C407" t="s">
        <v>21</v>
      </c>
      <c r="D407">
        <v>0.92237537199999997</v>
      </c>
      <c r="E407" t="s">
        <v>54</v>
      </c>
      <c r="F407">
        <v>-1241.9004170000001</v>
      </c>
      <c r="G407">
        <v>1682.2627649999999</v>
      </c>
      <c r="H407">
        <v>-0.73823212500000002</v>
      </c>
      <c r="I407">
        <v>0.46202022100000001</v>
      </c>
    </row>
    <row r="408" spans="2:9" x14ac:dyDescent="0.2">
      <c r="B408">
        <v>26</v>
      </c>
      <c r="C408" t="s">
        <v>21</v>
      </c>
      <c r="D408">
        <v>0.92237537199999997</v>
      </c>
      <c r="E408" t="s">
        <v>55</v>
      </c>
      <c r="F408">
        <v>1113.9935029999999</v>
      </c>
      <c r="G408">
        <v>3371.7359289999999</v>
      </c>
      <c r="H408">
        <v>0.33039168099999999</v>
      </c>
      <c r="I408">
        <v>0.74176235199999996</v>
      </c>
    </row>
    <row r="409" spans="2:9" x14ac:dyDescent="0.2">
      <c r="B409">
        <v>26</v>
      </c>
      <c r="C409" t="s">
        <v>21</v>
      </c>
      <c r="D409">
        <v>0.92237537199999997</v>
      </c>
      <c r="E409" t="s">
        <v>56</v>
      </c>
      <c r="F409">
        <v>11753.4982</v>
      </c>
      <c r="G409">
        <v>16997.973740000001</v>
      </c>
      <c r="H409">
        <v>0.69146466399999995</v>
      </c>
      <c r="I409">
        <v>0.49079962300000002</v>
      </c>
    </row>
    <row r="410" spans="2:9" x14ac:dyDescent="0.2">
      <c r="B410">
        <v>26</v>
      </c>
      <c r="C410" t="s">
        <v>21</v>
      </c>
      <c r="D410">
        <v>0.92237537199999997</v>
      </c>
      <c r="E410" t="s">
        <v>57</v>
      </c>
      <c r="F410">
        <v>154.05959519999999</v>
      </c>
    </row>
    <row r="411" spans="2:9" x14ac:dyDescent="0.2">
      <c r="B411">
        <v>26</v>
      </c>
      <c r="C411" t="s">
        <v>21</v>
      </c>
      <c r="D411">
        <v>0.92237537199999997</v>
      </c>
      <c r="E411" t="s">
        <v>58</v>
      </c>
      <c r="F411">
        <v>540.67806199999995</v>
      </c>
    </row>
    <row r="412" spans="2:9" x14ac:dyDescent="0.2">
      <c r="B412">
        <v>26</v>
      </c>
      <c r="C412" t="s">
        <v>21</v>
      </c>
      <c r="D412">
        <v>0.92237537199999997</v>
      </c>
      <c r="E412" t="s">
        <v>59</v>
      </c>
      <c r="F412">
        <v>-694.73765719999994</v>
      </c>
    </row>
    <row r="413" spans="2:9" x14ac:dyDescent="0.2">
      <c r="B413">
        <v>26</v>
      </c>
      <c r="C413" t="s">
        <v>21</v>
      </c>
      <c r="D413">
        <v>0.92237537199999997</v>
      </c>
      <c r="E413" t="s">
        <v>36</v>
      </c>
      <c r="F413">
        <v>2956.5484339999998</v>
      </c>
      <c r="G413">
        <v>5444.3102589999999</v>
      </c>
      <c r="H413">
        <v>0.54305289300000004</v>
      </c>
      <c r="I413">
        <v>0.588244349</v>
      </c>
    </row>
    <row r="414" spans="2:9" x14ac:dyDescent="0.2">
      <c r="B414">
        <v>26</v>
      </c>
      <c r="C414" t="s">
        <v>21</v>
      </c>
      <c r="D414">
        <v>0.92237537199999997</v>
      </c>
      <c r="E414" t="s">
        <v>60</v>
      </c>
      <c r="F414">
        <v>-36751.867279999999</v>
      </c>
      <c r="G414">
        <v>1115.897653</v>
      </c>
      <c r="H414">
        <v>-32.934801129999997</v>
      </c>
      <c r="I414">
        <v>0</v>
      </c>
    </row>
    <row r="415" spans="2:9" x14ac:dyDescent="0.2">
      <c r="B415">
        <v>26</v>
      </c>
      <c r="C415" t="s">
        <v>21</v>
      </c>
      <c r="D415">
        <v>0.92237537199999997</v>
      </c>
      <c r="E415" t="s">
        <v>61</v>
      </c>
      <c r="F415">
        <v>618.1544427</v>
      </c>
      <c r="G415">
        <v>29733736371</v>
      </c>
      <c r="H415" s="1">
        <v>2.0800000000000001E-8</v>
      </c>
      <c r="I415">
        <v>0.99999998300000004</v>
      </c>
    </row>
    <row r="416" spans="2:9" x14ac:dyDescent="0.2">
      <c r="B416">
        <v>26</v>
      </c>
      <c r="C416" t="s">
        <v>21</v>
      </c>
      <c r="D416">
        <v>0.92237537199999997</v>
      </c>
      <c r="E416" t="s">
        <v>70</v>
      </c>
      <c r="F416">
        <v>-618.1544427</v>
      </c>
      <c r="G416">
        <v>29733736371</v>
      </c>
      <c r="H416" s="1">
        <v>-2.0800000000000001E-8</v>
      </c>
      <c r="I416">
        <v>0.99999998300000004</v>
      </c>
    </row>
    <row r="417" spans="2:9" x14ac:dyDescent="0.2">
      <c r="B417">
        <v>26</v>
      </c>
      <c r="C417" t="s">
        <v>21</v>
      </c>
      <c r="D417">
        <v>0.92237537199999997</v>
      </c>
      <c r="E417" t="s">
        <v>63</v>
      </c>
      <c r="F417">
        <v>76289.634919999997</v>
      </c>
    </row>
    <row r="418" spans="2:9" x14ac:dyDescent="0.2">
      <c r="B418">
        <v>27</v>
      </c>
      <c r="C418" t="s">
        <v>20</v>
      </c>
      <c r="D418">
        <v>0.89829691300000003</v>
      </c>
      <c r="E418" t="s">
        <v>49</v>
      </c>
      <c r="F418">
        <v>328.21980710000003</v>
      </c>
      <c r="G418">
        <v>76.587331250000005</v>
      </c>
      <c r="H418">
        <v>4.2855626610000002</v>
      </c>
      <c r="I418" s="1">
        <v>4.0500000000000002E-5</v>
      </c>
    </row>
    <row r="419" spans="2:9" x14ac:dyDescent="0.2">
      <c r="B419">
        <v>27</v>
      </c>
      <c r="C419" t="s">
        <v>20</v>
      </c>
      <c r="D419">
        <v>0.89829691300000003</v>
      </c>
      <c r="E419" t="s">
        <v>50</v>
      </c>
      <c r="F419">
        <v>-115.7521119</v>
      </c>
      <c r="G419">
        <v>79.555801689999996</v>
      </c>
      <c r="H419">
        <v>-1.4549801449999999</v>
      </c>
      <c r="I419">
        <v>0.148657862</v>
      </c>
    </row>
    <row r="420" spans="2:9" x14ac:dyDescent="0.2">
      <c r="B420">
        <v>27</v>
      </c>
      <c r="C420" t="s">
        <v>20</v>
      </c>
      <c r="D420">
        <v>0.89829691300000003</v>
      </c>
      <c r="E420" t="s">
        <v>51</v>
      </c>
      <c r="F420">
        <v>-372.71987789999997</v>
      </c>
      <c r="G420">
        <v>388.03526679999999</v>
      </c>
      <c r="H420">
        <v>-0.96053093599999995</v>
      </c>
      <c r="I420">
        <v>0.338994766</v>
      </c>
    </row>
    <row r="421" spans="2:9" x14ac:dyDescent="0.2">
      <c r="B421">
        <v>27</v>
      </c>
      <c r="C421" t="s">
        <v>20</v>
      </c>
      <c r="D421">
        <v>0.89829691300000003</v>
      </c>
      <c r="E421" t="s">
        <v>52</v>
      </c>
      <c r="F421">
        <v>223.13765520000001</v>
      </c>
      <c r="G421">
        <v>76.804860149999996</v>
      </c>
      <c r="H421">
        <v>2.9052543649999998</v>
      </c>
      <c r="I421">
        <v>4.475428E-3</v>
      </c>
    </row>
    <row r="422" spans="2:9" x14ac:dyDescent="0.2">
      <c r="B422">
        <v>27</v>
      </c>
      <c r="C422" t="s">
        <v>20</v>
      </c>
      <c r="D422">
        <v>0.89829691300000003</v>
      </c>
      <c r="E422" t="s">
        <v>53</v>
      </c>
      <c r="F422">
        <v>-15.394678040000001</v>
      </c>
      <c r="G422">
        <v>77.948822399999997</v>
      </c>
      <c r="H422">
        <v>-0.19749725000000001</v>
      </c>
      <c r="I422">
        <v>0.84382025599999999</v>
      </c>
    </row>
    <row r="423" spans="2:9" x14ac:dyDescent="0.2">
      <c r="B423">
        <v>27</v>
      </c>
      <c r="C423" t="s">
        <v>20</v>
      </c>
      <c r="D423">
        <v>0.89829691300000003</v>
      </c>
      <c r="E423" t="s">
        <v>54</v>
      </c>
      <c r="F423">
        <v>-74.182825579999999</v>
      </c>
      <c r="G423">
        <v>77.028544120000007</v>
      </c>
      <c r="H423">
        <v>-0.963056311</v>
      </c>
      <c r="I423">
        <v>0.33773196300000002</v>
      </c>
    </row>
    <row r="424" spans="2:9" x14ac:dyDescent="0.2">
      <c r="B424">
        <v>27</v>
      </c>
      <c r="C424" t="s">
        <v>20</v>
      </c>
      <c r="D424">
        <v>0.89829691300000003</v>
      </c>
      <c r="E424" t="s">
        <v>55</v>
      </c>
      <c r="F424">
        <v>-11.86693004</v>
      </c>
      <c r="G424">
        <v>154.3872427</v>
      </c>
      <c r="H424">
        <v>-7.6864706000000005E-2</v>
      </c>
      <c r="I424">
        <v>0.93887744900000003</v>
      </c>
    </row>
    <row r="425" spans="2:9" x14ac:dyDescent="0.2">
      <c r="B425">
        <v>27</v>
      </c>
      <c r="C425" t="s">
        <v>20</v>
      </c>
      <c r="D425">
        <v>0.89829691300000003</v>
      </c>
      <c r="E425" t="s">
        <v>56</v>
      </c>
      <c r="F425">
        <v>441.25755930000003</v>
      </c>
      <c r="G425">
        <v>778.31430209999996</v>
      </c>
      <c r="H425">
        <v>0.56694006299999999</v>
      </c>
      <c r="I425">
        <v>0.57196490600000005</v>
      </c>
    </row>
    <row r="426" spans="2:9" x14ac:dyDescent="0.2">
      <c r="B426">
        <v>27</v>
      </c>
      <c r="C426" t="s">
        <v>20</v>
      </c>
      <c r="D426">
        <v>0.89829691300000003</v>
      </c>
      <c r="E426" t="s">
        <v>57</v>
      </c>
      <c r="F426">
        <v>-8.1274029599999995</v>
      </c>
    </row>
    <row r="427" spans="2:9" x14ac:dyDescent="0.2">
      <c r="B427">
        <v>27</v>
      </c>
      <c r="C427" t="s">
        <v>20</v>
      </c>
      <c r="D427">
        <v>0.89829691300000003</v>
      </c>
      <c r="E427" t="s">
        <v>58</v>
      </c>
      <c r="F427">
        <v>29.107180750000001</v>
      </c>
    </row>
    <row r="428" spans="2:9" x14ac:dyDescent="0.2">
      <c r="B428">
        <v>27</v>
      </c>
      <c r="C428" t="s">
        <v>20</v>
      </c>
      <c r="D428">
        <v>0.89829691300000003</v>
      </c>
      <c r="E428" t="s">
        <v>59</v>
      </c>
      <c r="F428">
        <v>-20.97977779</v>
      </c>
    </row>
    <row r="429" spans="2:9" x14ac:dyDescent="0.2">
      <c r="B429">
        <v>27</v>
      </c>
      <c r="C429" t="s">
        <v>20</v>
      </c>
      <c r="D429">
        <v>0.89829691300000003</v>
      </c>
      <c r="E429" t="s">
        <v>36</v>
      </c>
      <c r="F429">
        <v>476.25383890000001</v>
      </c>
      <c r="G429">
        <v>249.28762710000001</v>
      </c>
      <c r="H429">
        <v>1.9104591929999999</v>
      </c>
      <c r="I429">
        <v>5.8801986000000001E-2</v>
      </c>
    </row>
    <row r="430" spans="2:9" x14ac:dyDescent="0.2">
      <c r="B430">
        <v>27</v>
      </c>
      <c r="C430" t="s">
        <v>20</v>
      </c>
      <c r="D430">
        <v>0.89829691300000003</v>
      </c>
      <c r="E430" t="s">
        <v>60</v>
      </c>
      <c r="F430">
        <v>-1401.233502</v>
      </c>
      <c r="G430">
        <v>51.095449160000001</v>
      </c>
      <c r="H430">
        <v>-27.42384156</v>
      </c>
      <c r="I430">
        <v>0</v>
      </c>
    </row>
    <row r="431" spans="2:9" x14ac:dyDescent="0.2">
      <c r="B431">
        <v>27</v>
      </c>
      <c r="C431" t="s">
        <v>20</v>
      </c>
      <c r="D431">
        <v>0.89829691300000003</v>
      </c>
      <c r="E431" t="s">
        <v>61</v>
      </c>
      <c r="F431">
        <v>12.06990326</v>
      </c>
      <c r="G431">
        <v>1361467704</v>
      </c>
      <c r="H431" s="1">
        <v>8.8699999999999994E-9</v>
      </c>
      <c r="I431">
        <v>0.99999999299999998</v>
      </c>
    </row>
    <row r="432" spans="2:9" x14ac:dyDescent="0.2">
      <c r="B432">
        <v>27</v>
      </c>
      <c r="C432" t="s">
        <v>20</v>
      </c>
      <c r="D432">
        <v>0.89829691300000003</v>
      </c>
      <c r="E432" t="s">
        <v>70</v>
      </c>
      <c r="F432">
        <v>-12.06990326</v>
      </c>
      <c r="G432">
        <v>1361467704</v>
      </c>
      <c r="H432" s="1">
        <v>-8.8699999999999994E-9</v>
      </c>
      <c r="I432">
        <v>0.99999999299999998</v>
      </c>
    </row>
    <row r="433" spans="2:9" x14ac:dyDescent="0.2">
      <c r="B433">
        <v>27</v>
      </c>
      <c r="C433" t="s">
        <v>20</v>
      </c>
      <c r="D433">
        <v>0.89829691300000003</v>
      </c>
      <c r="E433" t="s">
        <v>63</v>
      </c>
      <c r="F433">
        <v>3245.7722939999999</v>
      </c>
    </row>
    <row r="434" spans="2:9" x14ac:dyDescent="0.2">
      <c r="B434">
        <v>28</v>
      </c>
      <c r="C434" t="s">
        <v>4</v>
      </c>
      <c r="D434">
        <v>0.96384609700000001</v>
      </c>
      <c r="E434" t="s">
        <v>49</v>
      </c>
      <c r="F434">
        <v>1.2542823E-2</v>
      </c>
      <c r="G434">
        <v>3.40467E-4</v>
      </c>
      <c r="H434">
        <v>36.840051799999998</v>
      </c>
      <c r="I434">
        <v>0</v>
      </c>
    </row>
    <row r="435" spans="2:9" x14ac:dyDescent="0.2">
      <c r="B435">
        <v>28</v>
      </c>
      <c r="C435" t="s">
        <v>4</v>
      </c>
      <c r="D435">
        <v>0.96384609700000001</v>
      </c>
      <c r="E435" t="s">
        <v>50</v>
      </c>
      <c r="F435">
        <v>-8.4002000000000002E-4</v>
      </c>
      <c r="G435">
        <v>3.5366299999999999E-4</v>
      </c>
      <c r="H435">
        <v>-2.375195755</v>
      </c>
      <c r="I435">
        <v>1.9354205999999999E-2</v>
      </c>
    </row>
    <row r="436" spans="2:9" x14ac:dyDescent="0.2">
      <c r="B436">
        <v>28</v>
      </c>
      <c r="C436" t="s">
        <v>4</v>
      </c>
      <c r="D436">
        <v>0.96384609700000001</v>
      </c>
      <c r="E436" t="s">
        <v>51</v>
      </c>
      <c r="F436">
        <v>1.088288E-3</v>
      </c>
      <c r="G436">
        <v>1.7250010000000001E-3</v>
      </c>
      <c r="H436">
        <v>0.63089137200000001</v>
      </c>
      <c r="I436">
        <v>0.52948242499999998</v>
      </c>
    </row>
    <row r="437" spans="2:9" x14ac:dyDescent="0.2">
      <c r="B437">
        <v>28</v>
      </c>
      <c r="C437" t="s">
        <v>4</v>
      </c>
      <c r="D437">
        <v>0.96384609700000001</v>
      </c>
      <c r="E437" t="s">
        <v>52</v>
      </c>
      <c r="F437">
        <v>1.0148830000000001E-3</v>
      </c>
      <c r="G437">
        <v>3.41434E-4</v>
      </c>
      <c r="H437">
        <v>2.9724128429999999</v>
      </c>
      <c r="I437">
        <v>3.6642929999999999E-3</v>
      </c>
    </row>
    <row r="438" spans="2:9" x14ac:dyDescent="0.2">
      <c r="B438">
        <v>28</v>
      </c>
      <c r="C438" t="s">
        <v>4</v>
      </c>
      <c r="D438">
        <v>0.96384609700000001</v>
      </c>
      <c r="E438" t="s">
        <v>53</v>
      </c>
      <c r="F438">
        <v>-1.1604009999999999E-3</v>
      </c>
      <c r="G438">
        <v>3.4651899999999999E-4</v>
      </c>
      <c r="H438">
        <v>-3.3487311989999999</v>
      </c>
      <c r="I438">
        <v>1.1281419999999999E-3</v>
      </c>
    </row>
    <row r="439" spans="2:9" x14ac:dyDescent="0.2">
      <c r="B439">
        <v>28</v>
      </c>
      <c r="C439" t="s">
        <v>4</v>
      </c>
      <c r="D439">
        <v>0.96384609700000001</v>
      </c>
      <c r="E439" t="s">
        <v>54</v>
      </c>
      <c r="F439">
        <v>-3.0016500000000002E-4</v>
      </c>
      <c r="G439">
        <v>3.4242799999999998E-4</v>
      </c>
      <c r="H439">
        <v>-0.87657777999999997</v>
      </c>
      <c r="I439">
        <v>0.38271709500000001</v>
      </c>
    </row>
    <row r="440" spans="2:9" x14ac:dyDescent="0.2">
      <c r="B440">
        <v>28</v>
      </c>
      <c r="C440" t="s">
        <v>4</v>
      </c>
      <c r="D440">
        <v>0.96384609700000001</v>
      </c>
      <c r="E440" t="s">
        <v>55</v>
      </c>
      <c r="F440">
        <v>9.8503700000000002E-4</v>
      </c>
      <c r="G440">
        <v>6.86325E-4</v>
      </c>
      <c r="H440">
        <v>1.435234739</v>
      </c>
      <c r="I440">
        <v>0.154192354</v>
      </c>
    </row>
    <row r="441" spans="2:9" x14ac:dyDescent="0.2">
      <c r="B441">
        <v>28</v>
      </c>
      <c r="C441" t="s">
        <v>4</v>
      </c>
      <c r="D441">
        <v>0.96384609700000001</v>
      </c>
      <c r="E441" t="s">
        <v>56</v>
      </c>
      <c r="F441">
        <v>2.7113020000000001E-3</v>
      </c>
      <c r="G441">
        <v>3.459976E-3</v>
      </c>
      <c r="H441">
        <v>0.78361867500000004</v>
      </c>
      <c r="I441">
        <v>0.43502795599999999</v>
      </c>
    </row>
    <row r="442" spans="2:9" x14ac:dyDescent="0.2">
      <c r="B442">
        <v>28</v>
      </c>
      <c r="C442" t="s">
        <v>4</v>
      </c>
      <c r="D442">
        <v>0.96384609700000001</v>
      </c>
      <c r="E442" t="s">
        <v>57</v>
      </c>
      <c r="F442">
        <v>9.4366600000000001E-4</v>
      </c>
    </row>
    <row r="443" spans="2:9" x14ac:dyDescent="0.2">
      <c r="B443">
        <v>28</v>
      </c>
      <c r="C443" t="s">
        <v>4</v>
      </c>
      <c r="D443">
        <v>0.96384609700000001</v>
      </c>
      <c r="E443" t="s">
        <v>58</v>
      </c>
      <c r="F443">
        <v>-3.8265E-4</v>
      </c>
    </row>
    <row r="444" spans="2:9" x14ac:dyDescent="0.2">
      <c r="B444">
        <v>28</v>
      </c>
      <c r="C444" t="s">
        <v>4</v>
      </c>
      <c r="D444">
        <v>0.96384609700000001</v>
      </c>
      <c r="E444" t="s">
        <v>59</v>
      </c>
      <c r="F444">
        <v>-5.6101600000000001E-4</v>
      </c>
    </row>
    <row r="445" spans="2:9" x14ac:dyDescent="0.2">
      <c r="B445">
        <v>28</v>
      </c>
      <c r="C445" t="s">
        <v>4</v>
      </c>
      <c r="D445">
        <v>0.96384609700000001</v>
      </c>
      <c r="E445" t="s">
        <v>36</v>
      </c>
      <c r="F445">
        <v>-2.4356030000000002E-3</v>
      </c>
      <c r="G445">
        <v>1.108202E-3</v>
      </c>
      <c r="H445">
        <v>-2.1977975230000002</v>
      </c>
      <c r="I445">
        <v>3.0159924000000001E-2</v>
      </c>
    </row>
    <row r="446" spans="2:9" x14ac:dyDescent="0.2">
      <c r="B446">
        <v>28</v>
      </c>
      <c r="C446" t="s">
        <v>4</v>
      </c>
      <c r="D446">
        <v>0.96384609700000001</v>
      </c>
      <c r="E446" t="s">
        <v>60</v>
      </c>
      <c r="F446">
        <v>-6.0968139999999999E-3</v>
      </c>
      <c r="G446">
        <v>2.2714400000000001E-4</v>
      </c>
      <c r="H446">
        <v>-26.841240209999999</v>
      </c>
      <c r="I446">
        <v>0</v>
      </c>
    </row>
    <row r="447" spans="2:9" x14ac:dyDescent="0.2">
      <c r="B447">
        <v>28</v>
      </c>
      <c r="C447" t="s">
        <v>4</v>
      </c>
      <c r="D447">
        <v>0.96384609700000001</v>
      </c>
      <c r="E447" t="s">
        <v>61</v>
      </c>
      <c r="F447">
        <v>9.1158799999999996E-4</v>
      </c>
      <c r="G447">
        <v>6052.3697840000004</v>
      </c>
      <c r="H447" s="1">
        <v>1.5099999999999999E-7</v>
      </c>
      <c r="I447">
        <v>0.99999987999999995</v>
      </c>
    </row>
    <row r="448" spans="2:9" x14ac:dyDescent="0.2">
      <c r="B448">
        <v>28</v>
      </c>
      <c r="C448" t="s">
        <v>4</v>
      </c>
      <c r="D448">
        <v>0.96384609700000001</v>
      </c>
      <c r="E448" t="s">
        <v>70</v>
      </c>
      <c r="F448">
        <v>-9.1158799999999996E-4</v>
      </c>
      <c r="G448">
        <v>6052.3697840000004</v>
      </c>
      <c r="H448" s="1">
        <v>-1.5099999999999999E-7</v>
      </c>
      <c r="I448">
        <v>0.99999987999999995</v>
      </c>
    </row>
    <row r="449" spans="2:9" x14ac:dyDescent="0.2">
      <c r="B449">
        <v>28</v>
      </c>
      <c r="C449" t="s">
        <v>4</v>
      </c>
      <c r="D449">
        <v>0.96384609700000001</v>
      </c>
      <c r="E449" t="s">
        <v>63</v>
      </c>
      <c r="F449">
        <v>1.6811708000000002E-2</v>
      </c>
    </row>
    <row r="450" spans="2:9" x14ac:dyDescent="0.2">
      <c r="B450">
        <v>29</v>
      </c>
      <c r="C450" t="s">
        <v>6</v>
      </c>
      <c r="D450">
        <v>0.91760271000000004</v>
      </c>
      <c r="E450" t="s">
        <v>49</v>
      </c>
      <c r="F450">
        <v>124562.10460000001</v>
      </c>
      <c r="G450">
        <v>5495.6640280000001</v>
      </c>
      <c r="H450">
        <v>22.66552394</v>
      </c>
      <c r="I450">
        <v>0</v>
      </c>
    </row>
    <row r="451" spans="2:9" x14ac:dyDescent="0.2">
      <c r="B451">
        <v>29</v>
      </c>
      <c r="C451" t="s">
        <v>6</v>
      </c>
      <c r="D451">
        <v>0.91760271000000004</v>
      </c>
      <c r="E451" t="s">
        <v>50</v>
      </c>
      <c r="F451">
        <v>-9853.1397730000008</v>
      </c>
      <c r="G451">
        <v>5708.6720530000002</v>
      </c>
      <c r="H451">
        <v>-1.725995062</v>
      </c>
      <c r="I451">
        <v>8.7289755999999996E-2</v>
      </c>
    </row>
    <row r="452" spans="2:9" x14ac:dyDescent="0.2">
      <c r="B452">
        <v>29</v>
      </c>
      <c r="C452" t="s">
        <v>6</v>
      </c>
      <c r="D452">
        <v>0.91760271000000004</v>
      </c>
      <c r="E452" t="s">
        <v>51</v>
      </c>
      <c r="F452">
        <v>24333.39446</v>
      </c>
      <c r="G452">
        <v>27844.180270000001</v>
      </c>
      <c r="H452">
        <v>0.87391312099999996</v>
      </c>
      <c r="I452">
        <v>0.38415996299999999</v>
      </c>
    </row>
    <row r="453" spans="2:9" x14ac:dyDescent="0.2">
      <c r="B453">
        <v>29</v>
      </c>
      <c r="C453" t="s">
        <v>6</v>
      </c>
      <c r="D453">
        <v>0.91760271000000004</v>
      </c>
      <c r="E453" t="s">
        <v>52</v>
      </c>
      <c r="F453">
        <v>7070.5757080000003</v>
      </c>
      <c r="G453">
        <v>5511.2732120000001</v>
      </c>
      <c r="H453">
        <v>1.282929631</v>
      </c>
      <c r="I453">
        <v>0.20234138800000001</v>
      </c>
    </row>
    <row r="454" spans="2:9" x14ac:dyDescent="0.2">
      <c r="B454">
        <v>29</v>
      </c>
      <c r="C454" t="s">
        <v>6</v>
      </c>
      <c r="D454">
        <v>0.91760271000000004</v>
      </c>
      <c r="E454" t="s">
        <v>53</v>
      </c>
      <c r="F454">
        <v>14950.55761</v>
      </c>
      <c r="G454">
        <v>5593.3603149999999</v>
      </c>
      <c r="H454">
        <v>2.67291159</v>
      </c>
      <c r="I454">
        <v>8.7203079999999995E-3</v>
      </c>
    </row>
    <row r="455" spans="2:9" x14ac:dyDescent="0.2">
      <c r="B455">
        <v>29</v>
      </c>
      <c r="C455" t="s">
        <v>6</v>
      </c>
      <c r="D455">
        <v>0.91760271000000004</v>
      </c>
      <c r="E455" t="s">
        <v>54</v>
      </c>
      <c r="F455">
        <v>-3980.6620509999998</v>
      </c>
      <c r="G455">
        <v>5527.3240640000004</v>
      </c>
      <c r="H455">
        <v>-0.72017887999999997</v>
      </c>
      <c r="I455">
        <v>0.47301501600000001</v>
      </c>
    </row>
    <row r="456" spans="2:9" x14ac:dyDescent="0.2">
      <c r="B456">
        <v>29</v>
      </c>
      <c r="C456" t="s">
        <v>6</v>
      </c>
      <c r="D456">
        <v>0.91760271000000004</v>
      </c>
      <c r="E456" t="s">
        <v>55</v>
      </c>
      <c r="F456">
        <v>14777.912329999999</v>
      </c>
      <c r="G456">
        <v>11078.338959999999</v>
      </c>
      <c r="H456">
        <v>1.333946576</v>
      </c>
      <c r="I456">
        <v>0.18510752499999999</v>
      </c>
    </row>
    <row r="457" spans="2:9" x14ac:dyDescent="0.2">
      <c r="B457">
        <v>29</v>
      </c>
      <c r="C457" t="s">
        <v>6</v>
      </c>
      <c r="D457">
        <v>0.91760271000000004</v>
      </c>
      <c r="E457" t="s">
        <v>56</v>
      </c>
      <c r="F457">
        <v>-27126.233830000001</v>
      </c>
      <c r="G457">
        <v>55849.366240000003</v>
      </c>
      <c r="H457">
        <v>-0.48570352100000003</v>
      </c>
      <c r="I457">
        <v>0.62818939500000004</v>
      </c>
    </row>
    <row r="458" spans="2:9" x14ac:dyDescent="0.2">
      <c r="B458">
        <v>29</v>
      </c>
      <c r="C458" t="s">
        <v>6</v>
      </c>
      <c r="D458">
        <v>0.91760271000000004</v>
      </c>
      <c r="E458" t="s">
        <v>57</v>
      </c>
      <c r="F458">
        <v>12384.601420000001</v>
      </c>
    </row>
    <row r="459" spans="2:9" x14ac:dyDescent="0.2">
      <c r="B459">
        <v>29</v>
      </c>
      <c r="C459" t="s">
        <v>6</v>
      </c>
      <c r="D459">
        <v>0.91760271000000004</v>
      </c>
      <c r="E459" t="s">
        <v>58</v>
      </c>
      <c r="F459">
        <v>-5218.844916</v>
      </c>
    </row>
    <row r="460" spans="2:9" x14ac:dyDescent="0.2">
      <c r="B460">
        <v>29</v>
      </c>
      <c r="C460" t="s">
        <v>6</v>
      </c>
      <c r="D460">
        <v>0.91760271000000004</v>
      </c>
      <c r="E460" t="s">
        <v>59</v>
      </c>
      <c r="F460">
        <v>-7165.7565050000003</v>
      </c>
    </row>
    <row r="461" spans="2:9" x14ac:dyDescent="0.2">
      <c r="B461">
        <v>29</v>
      </c>
      <c r="C461" t="s">
        <v>6</v>
      </c>
      <c r="D461">
        <v>0.91760271000000004</v>
      </c>
      <c r="E461" t="s">
        <v>36</v>
      </c>
      <c r="F461">
        <v>-26615.530289999999</v>
      </c>
      <c r="G461">
        <v>17888.089619999999</v>
      </c>
      <c r="H461">
        <v>-1.4878911530000001</v>
      </c>
      <c r="I461">
        <v>0.13977671</v>
      </c>
    </row>
    <row r="462" spans="2:9" x14ac:dyDescent="0.2">
      <c r="B462">
        <v>29</v>
      </c>
      <c r="C462" t="s">
        <v>6</v>
      </c>
      <c r="D462">
        <v>0.91760271000000004</v>
      </c>
      <c r="E462" t="s">
        <v>60</v>
      </c>
      <c r="F462">
        <v>-69436.161940000005</v>
      </c>
      <c r="G462">
        <v>3666.4474049999999</v>
      </c>
      <c r="H462">
        <v>-18.93826756</v>
      </c>
      <c r="I462">
        <v>0</v>
      </c>
    </row>
    <row r="463" spans="2:9" x14ac:dyDescent="0.2">
      <c r="B463">
        <v>29</v>
      </c>
      <c r="C463" t="s">
        <v>6</v>
      </c>
      <c r="D463">
        <v>0.91760271000000004</v>
      </c>
      <c r="E463" t="s">
        <v>61</v>
      </c>
      <c r="F463">
        <v>10731.012549999999</v>
      </c>
      <c r="G463">
        <v>97694605122</v>
      </c>
      <c r="H463" s="1">
        <v>1.1000000000000001E-7</v>
      </c>
      <c r="I463">
        <v>0.99999991300000002</v>
      </c>
    </row>
    <row r="464" spans="2:9" x14ac:dyDescent="0.2">
      <c r="B464">
        <v>29</v>
      </c>
      <c r="C464" t="s">
        <v>6</v>
      </c>
      <c r="D464">
        <v>0.91760271000000004</v>
      </c>
      <c r="E464" t="s">
        <v>70</v>
      </c>
      <c r="F464">
        <v>-10731.012549999999</v>
      </c>
      <c r="G464">
        <v>97694605122</v>
      </c>
      <c r="H464" s="1">
        <v>-1.1000000000000001E-7</v>
      </c>
      <c r="I464">
        <v>0.99999991300000002</v>
      </c>
    </row>
    <row r="465" spans="2:9" x14ac:dyDescent="0.2">
      <c r="B465">
        <v>29</v>
      </c>
      <c r="C465" t="s">
        <v>6</v>
      </c>
      <c r="D465">
        <v>0.91760271000000004</v>
      </c>
      <c r="E465" t="s">
        <v>63</v>
      </c>
      <c r="F465">
        <v>152722.87100000001</v>
      </c>
    </row>
    <row r="466" spans="2:9" x14ac:dyDescent="0.2">
      <c r="B466">
        <v>30</v>
      </c>
      <c r="C466" t="s">
        <v>77</v>
      </c>
      <c r="D466">
        <v>0.38873002899999998</v>
      </c>
      <c r="E466" t="s">
        <v>49</v>
      </c>
      <c r="F466">
        <v>-10422640.42</v>
      </c>
      <c r="G466">
        <v>26597302.48</v>
      </c>
      <c r="H466">
        <v>-0.39186832700000002</v>
      </c>
      <c r="I466">
        <v>0.69594971500000002</v>
      </c>
    </row>
    <row r="467" spans="2:9" x14ac:dyDescent="0.2">
      <c r="B467">
        <v>30</v>
      </c>
      <c r="C467" t="s">
        <v>77</v>
      </c>
      <c r="D467">
        <v>0.38873002899999998</v>
      </c>
      <c r="E467" t="s">
        <v>50</v>
      </c>
      <c r="F467">
        <v>-153741470.30000001</v>
      </c>
      <c r="G467">
        <v>27628194.989999998</v>
      </c>
      <c r="H467">
        <v>-5.5646585079999999</v>
      </c>
      <c r="I467" s="1">
        <v>2.0200000000000001E-7</v>
      </c>
    </row>
    <row r="468" spans="2:9" x14ac:dyDescent="0.2">
      <c r="B468">
        <v>30</v>
      </c>
      <c r="C468" t="s">
        <v>77</v>
      </c>
      <c r="D468">
        <v>0.38873002899999998</v>
      </c>
      <c r="E468" t="s">
        <v>51</v>
      </c>
      <c r="F468">
        <v>211808188</v>
      </c>
      <c r="G468">
        <v>134757161.5</v>
      </c>
      <c r="H468">
        <v>1.5717768590000001</v>
      </c>
      <c r="I468">
        <v>0.119010908</v>
      </c>
    </row>
    <row r="469" spans="2:9" x14ac:dyDescent="0.2">
      <c r="B469">
        <v>30</v>
      </c>
      <c r="C469" t="s">
        <v>77</v>
      </c>
      <c r="D469">
        <v>0.38873002899999998</v>
      </c>
      <c r="E469" t="s">
        <v>52</v>
      </c>
      <c r="F469">
        <v>6715475.0379999997</v>
      </c>
      <c r="G469">
        <v>26672846.059999999</v>
      </c>
      <c r="H469">
        <v>0.25177197099999998</v>
      </c>
      <c r="I469">
        <v>0.80170945000000005</v>
      </c>
    </row>
    <row r="470" spans="2:9" x14ac:dyDescent="0.2">
      <c r="B470">
        <v>30</v>
      </c>
      <c r="C470" t="s">
        <v>77</v>
      </c>
      <c r="D470">
        <v>0.38873002899999998</v>
      </c>
      <c r="E470" t="s">
        <v>53</v>
      </c>
      <c r="F470">
        <v>93368479.079999998</v>
      </c>
      <c r="G470">
        <v>27070122.079999998</v>
      </c>
      <c r="H470">
        <v>3.449134023</v>
      </c>
      <c r="I470">
        <v>8.1074700000000001E-4</v>
      </c>
    </row>
    <row r="471" spans="2:9" x14ac:dyDescent="0.2">
      <c r="B471">
        <v>30</v>
      </c>
      <c r="C471" t="s">
        <v>77</v>
      </c>
      <c r="D471">
        <v>0.38873002899999998</v>
      </c>
      <c r="E471" t="s">
        <v>54</v>
      </c>
      <c r="F471">
        <v>21616367.57</v>
      </c>
      <c r="G471">
        <v>26750527.190000001</v>
      </c>
      <c r="H471">
        <v>0.80807258199999998</v>
      </c>
      <c r="I471">
        <v>0.42087578399999998</v>
      </c>
    </row>
    <row r="472" spans="2:9" x14ac:dyDescent="0.2">
      <c r="B472">
        <v>30</v>
      </c>
      <c r="C472" t="s">
        <v>77</v>
      </c>
      <c r="D472">
        <v>0.38873002899999998</v>
      </c>
      <c r="E472" t="s">
        <v>55</v>
      </c>
      <c r="F472">
        <v>29546661.27</v>
      </c>
      <c r="G472">
        <v>53615710.649999999</v>
      </c>
      <c r="H472">
        <v>0.55108215299999996</v>
      </c>
      <c r="I472">
        <v>0.58274809599999999</v>
      </c>
    </row>
    <row r="473" spans="2:9" x14ac:dyDescent="0.2">
      <c r="B473">
        <v>30</v>
      </c>
      <c r="C473" t="s">
        <v>77</v>
      </c>
      <c r="D473">
        <v>0.38873002899999998</v>
      </c>
      <c r="E473" t="s">
        <v>56</v>
      </c>
      <c r="F473">
        <v>-828495788.10000002</v>
      </c>
      <c r="G473">
        <v>270293540.39999998</v>
      </c>
      <c r="H473">
        <v>-3.0651705059999999</v>
      </c>
      <c r="I473">
        <v>2.7656069999999998E-3</v>
      </c>
    </row>
    <row r="474" spans="2:9" x14ac:dyDescent="0.2">
      <c r="B474">
        <v>30</v>
      </c>
      <c r="C474" t="s">
        <v>77</v>
      </c>
      <c r="D474">
        <v>0.38873002899999998</v>
      </c>
      <c r="E474" t="s">
        <v>57</v>
      </c>
      <c r="F474">
        <v>585831.68000000005</v>
      </c>
    </row>
    <row r="475" spans="2:9" x14ac:dyDescent="0.2">
      <c r="B475">
        <v>30</v>
      </c>
      <c r="C475" t="s">
        <v>77</v>
      </c>
      <c r="D475">
        <v>0.38873002899999998</v>
      </c>
      <c r="E475" t="s">
        <v>58</v>
      </c>
      <c r="F475">
        <v>-880882.96109999996</v>
      </c>
    </row>
    <row r="476" spans="2:9" x14ac:dyDescent="0.2">
      <c r="B476">
        <v>30</v>
      </c>
      <c r="C476" t="s">
        <v>77</v>
      </c>
      <c r="D476">
        <v>0.38873002899999998</v>
      </c>
      <c r="E476" t="s">
        <v>59</v>
      </c>
      <c r="F476">
        <v>295051.28110000002</v>
      </c>
    </row>
    <row r="477" spans="2:9" x14ac:dyDescent="0.2">
      <c r="B477">
        <v>30</v>
      </c>
      <c r="C477" t="s">
        <v>77</v>
      </c>
      <c r="D477">
        <v>0.38873002899999998</v>
      </c>
      <c r="E477" t="s">
        <v>36</v>
      </c>
      <c r="F477">
        <v>-126040110.8</v>
      </c>
      <c r="G477">
        <v>86572783.180000007</v>
      </c>
      <c r="H477">
        <v>-1.4558860899999999</v>
      </c>
      <c r="I477">
        <v>0.14840767199999999</v>
      </c>
    </row>
    <row r="478" spans="2:9" x14ac:dyDescent="0.2">
      <c r="B478">
        <v>30</v>
      </c>
      <c r="C478" t="s">
        <v>77</v>
      </c>
      <c r="D478">
        <v>0.38873002899999998</v>
      </c>
      <c r="E478" t="s">
        <v>60</v>
      </c>
      <c r="F478">
        <v>-38544754.649999999</v>
      </c>
      <c r="G478">
        <v>17744463.66</v>
      </c>
      <c r="H478">
        <v>-2.1722130000000002</v>
      </c>
      <c r="I478">
        <v>3.2089373999999997E-2</v>
      </c>
    </row>
    <row r="479" spans="2:9" x14ac:dyDescent="0.2">
      <c r="B479">
        <v>30</v>
      </c>
      <c r="C479" t="s">
        <v>77</v>
      </c>
      <c r="D479">
        <v>0.38873002899999998</v>
      </c>
      <c r="E479" t="s">
        <v>61</v>
      </c>
      <c r="F479">
        <v>-3701087.2009999999</v>
      </c>
      <c r="G479" s="1">
        <v>472811000000000</v>
      </c>
      <c r="H479" s="1">
        <v>-7.8299999999999996E-9</v>
      </c>
      <c r="I479">
        <v>0.99999999399999995</v>
      </c>
    </row>
    <row r="480" spans="2:9" x14ac:dyDescent="0.2">
      <c r="B480">
        <v>30</v>
      </c>
      <c r="C480" t="s">
        <v>77</v>
      </c>
      <c r="D480">
        <v>0.38873002899999998</v>
      </c>
      <c r="E480" t="s">
        <v>70</v>
      </c>
      <c r="F480">
        <v>3701087.2009999999</v>
      </c>
      <c r="G480" s="1">
        <v>472811000000000</v>
      </c>
      <c r="H480" s="1">
        <v>7.8299999999999996E-9</v>
      </c>
      <c r="I480">
        <v>0.99999999399999995</v>
      </c>
    </row>
    <row r="481" spans="2:9" x14ac:dyDescent="0.2">
      <c r="B481">
        <v>30</v>
      </c>
      <c r="C481" t="s">
        <v>77</v>
      </c>
      <c r="D481">
        <v>0.38873002899999998</v>
      </c>
      <c r="E481" t="s">
        <v>63</v>
      </c>
      <c r="F481">
        <v>1413473986</v>
      </c>
    </row>
    <row r="482" spans="2:9" x14ac:dyDescent="0.2">
      <c r="B482">
        <v>31</v>
      </c>
      <c r="C482" t="s">
        <v>5</v>
      </c>
      <c r="D482">
        <v>0.90279095600000003</v>
      </c>
      <c r="E482" t="s">
        <v>49</v>
      </c>
      <c r="F482">
        <v>5.1528939999999999E-3</v>
      </c>
      <c r="G482">
        <v>2.3931700000000001E-4</v>
      </c>
      <c r="H482">
        <v>21.531698070000001</v>
      </c>
      <c r="I482">
        <v>0</v>
      </c>
    </row>
    <row r="483" spans="2:9" x14ac:dyDescent="0.2">
      <c r="B483">
        <v>31</v>
      </c>
      <c r="C483" t="s">
        <v>5</v>
      </c>
      <c r="D483">
        <v>0.90279095600000003</v>
      </c>
      <c r="E483" t="s">
        <v>50</v>
      </c>
      <c r="F483">
        <v>-3.1938539999999999E-3</v>
      </c>
      <c r="G483">
        <v>2.4859200000000001E-4</v>
      </c>
      <c r="H483">
        <v>-12.84775235</v>
      </c>
      <c r="I483">
        <v>0</v>
      </c>
    </row>
    <row r="484" spans="2:9" x14ac:dyDescent="0.2">
      <c r="B484">
        <v>31</v>
      </c>
      <c r="C484" t="s">
        <v>5</v>
      </c>
      <c r="D484">
        <v>0.90279095600000003</v>
      </c>
      <c r="E484" t="s">
        <v>51</v>
      </c>
      <c r="F484">
        <v>3.3049379999999999E-3</v>
      </c>
      <c r="G484">
        <v>1.2125149999999999E-3</v>
      </c>
      <c r="H484">
        <v>2.725687448</v>
      </c>
      <c r="I484">
        <v>7.51982E-3</v>
      </c>
    </row>
    <row r="485" spans="2:9" x14ac:dyDescent="0.2">
      <c r="B485">
        <v>31</v>
      </c>
      <c r="C485" t="s">
        <v>5</v>
      </c>
      <c r="D485">
        <v>0.90279095600000003</v>
      </c>
      <c r="E485" t="s">
        <v>52</v>
      </c>
      <c r="F485">
        <v>-1.517095E-3</v>
      </c>
      <c r="G485">
        <v>2.39996E-4</v>
      </c>
      <c r="H485">
        <v>-6.3213233750000004</v>
      </c>
      <c r="I485" s="1">
        <v>6.41E-9</v>
      </c>
    </row>
    <row r="486" spans="2:9" x14ac:dyDescent="0.2">
      <c r="B486">
        <v>31</v>
      </c>
      <c r="C486" t="s">
        <v>5</v>
      </c>
      <c r="D486">
        <v>0.90279095600000003</v>
      </c>
      <c r="E486" t="s">
        <v>53</v>
      </c>
      <c r="F486">
        <v>1.6290390000000001E-3</v>
      </c>
      <c r="G486">
        <v>2.4357099999999999E-4</v>
      </c>
      <c r="H486">
        <v>6.6881469820000001</v>
      </c>
      <c r="I486" s="1">
        <v>1.13E-9</v>
      </c>
    </row>
    <row r="487" spans="2:9" x14ac:dyDescent="0.2">
      <c r="B487">
        <v>31</v>
      </c>
      <c r="C487" t="s">
        <v>5</v>
      </c>
      <c r="D487">
        <v>0.90279095600000003</v>
      </c>
      <c r="E487" t="s">
        <v>54</v>
      </c>
      <c r="F487">
        <v>3.3306699999999999E-4</v>
      </c>
      <c r="G487">
        <v>2.40695E-4</v>
      </c>
      <c r="H487">
        <v>1.3837695750000001</v>
      </c>
      <c r="I487">
        <v>0.16936361999999999</v>
      </c>
    </row>
    <row r="488" spans="2:9" x14ac:dyDescent="0.2">
      <c r="B488">
        <v>31</v>
      </c>
      <c r="C488" t="s">
        <v>5</v>
      </c>
      <c r="D488">
        <v>0.90279095600000003</v>
      </c>
      <c r="E488" t="s">
        <v>55</v>
      </c>
      <c r="F488">
        <v>-7.2897200000000004E-4</v>
      </c>
      <c r="G488">
        <v>4.8242199999999998E-4</v>
      </c>
      <c r="H488">
        <v>-1.511065927</v>
      </c>
      <c r="I488">
        <v>0.13377541100000001</v>
      </c>
    </row>
    <row r="489" spans="2:9" x14ac:dyDescent="0.2">
      <c r="B489">
        <v>31</v>
      </c>
      <c r="C489" t="s">
        <v>5</v>
      </c>
      <c r="D489">
        <v>0.90279095600000003</v>
      </c>
      <c r="E489" t="s">
        <v>56</v>
      </c>
      <c r="F489">
        <v>1.8570066999999999E-2</v>
      </c>
      <c r="G489">
        <v>2.4320420000000001E-3</v>
      </c>
      <c r="H489">
        <v>7.6355872500000004</v>
      </c>
      <c r="I489" s="1">
        <v>1.0899999999999999E-11</v>
      </c>
    </row>
    <row r="490" spans="2:9" x14ac:dyDescent="0.2">
      <c r="B490">
        <v>31</v>
      </c>
      <c r="C490" t="s">
        <v>5</v>
      </c>
      <c r="D490">
        <v>0.90279095600000003</v>
      </c>
      <c r="E490" t="s">
        <v>57</v>
      </c>
      <c r="F490">
        <v>1.2791899999999999E-4</v>
      </c>
    </row>
    <row r="491" spans="2:9" x14ac:dyDescent="0.2">
      <c r="B491">
        <v>31</v>
      </c>
      <c r="C491" t="s">
        <v>5</v>
      </c>
      <c r="D491">
        <v>0.90279095600000003</v>
      </c>
      <c r="E491" t="s">
        <v>58</v>
      </c>
      <c r="F491">
        <v>-1.7842699999999999E-4</v>
      </c>
    </row>
    <row r="492" spans="2:9" x14ac:dyDescent="0.2">
      <c r="B492">
        <v>31</v>
      </c>
      <c r="C492" t="s">
        <v>5</v>
      </c>
      <c r="D492">
        <v>0.90279095600000003</v>
      </c>
      <c r="E492" t="s">
        <v>59</v>
      </c>
      <c r="F492" s="1">
        <v>5.0500000000000001E-5</v>
      </c>
    </row>
    <row r="493" spans="2:9" x14ac:dyDescent="0.2">
      <c r="B493">
        <v>31</v>
      </c>
      <c r="C493" t="s">
        <v>5</v>
      </c>
      <c r="D493">
        <v>0.90279095600000003</v>
      </c>
      <c r="E493" t="s">
        <v>36</v>
      </c>
      <c r="F493">
        <v>1.0761751E-2</v>
      </c>
      <c r="G493">
        <v>7.7896300000000003E-4</v>
      </c>
      <c r="H493">
        <v>13.81548656</v>
      </c>
      <c r="I493">
        <v>0</v>
      </c>
    </row>
    <row r="494" spans="2:9" x14ac:dyDescent="0.2">
      <c r="B494">
        <v>31</v>
      </c>
      <c r="C494" t="s">
        <v>5</v>
      </c>
      <c r="D494">
        <v>0.90279095600000003</v>
      </c>
      <c r="E494" t="s">
        <v>60</v>
      </c>
      <c r="F494" s="1">
        <v>5.9899999999999999E-5</v>
      </c>
      <c r="G494">
        <v>1.5966099999999999E-4</v>
      </c>
      <c r="H494">
        <v>0.37500341300000001</v>
      </c>
      <c r="I494">
        <v>0.70841432199999999</v>
      </c>
    </row>
    <row r="495" spans="2:9" x14ac:dyDescent="0.2">
      <c r="B495">
        <v>31</v>
      </c>
      <c r="C495" t="s">
        <v>5</v>
      </c>
      <c r="D495">
        <v>0.90279095600000003</v>
      </c>
      <c r="E495" t="s">
        <v>61</v>
      </c>
      <c r="F495">
        <v>-1.13651E-4</v>
      </c>
      <c r="G495">
        <v>4254.2534759999999</v>
      </c>
      <c r="H495" s="1">
        <v>-2.6700000000000001E-8</v>
      </c>
      <c r="I495">
        <v>0.99999997900000004</v>
      </c>
    </row>
    <row r="496" spans="2:9" x14ac:dyDescent="0.2">
      <c r="B496">
        <v>31</v>
      </c>
      <c r="C496" t="s">
        <v>5</v>
      </c>
      <c r="D496">
        <v>0.90279095600000003</v>
      </c>
      <c r="E496" t="s">
        <v>70</v>
      </c>
      <c r="F496">
        <v>1.13651E-4</v>
      </c>
      <c r="G496">
        <v>4254.2534759999999</v>
      </c>
      <c r="H496" s="1">
        <v>2.6700000000000001E-8</v>
      </c>
      <c r="I496">
        <v>0.99999997900000004</v>
      </c>
    </row>
    <row r="497" spans="2:6" x14ac:dyDescent="0.2">
      <c r="B497">
        <v>31</v>
      </c>
      <c r="C497" t="s">
        <v>5</v>
      </c>
      <c r="D497">
        <v>0.90279095600000003</v>
      </c>
      <c r="E497" t="s">
        <v>63</v>
      </c>
      <c r="F497">
        <v>0.111764633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7283-099A-574C-8398-1EFEEBF9FB18}">
  <dimension ref="A1:B17"/>
  <sheetViews>
    <sheetView workbookViewId="0">
      <selection activeCell="A2" sqref="A2:A17"/>
    </sheetView>
  </sheetViews>
  <sheetFormatPr baseColWidth="10" defaultRowHeight="16" x14ac:dyDescent="0.2"/>
  <cols>
    <col min="1" max="1" width="47.6640625" customWidth="1"/>
  </cols>
  <sheetData>
    <row r="1" spans="1:2" x14ac:dyDescent="0.2">
      <c r="A1" t="s">
        <v>0</v>
      </c>
      <c r="B1" t="s">
        <v>27</v>
      </c>
    </row>
    <row r="2" spans="1:2" x14ac:dyDescent="0.2">
      <c r="A2" s="3" t="s">
        <v>49</v>
      </c>
      <c r="B2" t="s">
        <v>28</v>
      </c>
    </row>
    <row r="3" spans="1:2" x14ac:dyDescent="0.2">
      <c r="A3" s="3" t="s">
        <v>50</v>
      </c>
      <c r="B3" t="s">
        <v>29</v>
      </c>
    </row>
    <row r="4" spans="1:2" x14ac:dyDescent="0.2">
      <c r="A4" s="3" t="s">
        <v>51</v>
      </c>
      <c r="B4" t="s">
        <v>30</v>
      </c>
    </row>
    <row r="5" spans="1:2" x14ac:dyDescent="0.2">
      <c r="A5" s="3" t="s">
        <v>52</v>
      </c>
      <c r="B5" t="s">
        <v>31</v>
      </c>
    </row>
    <row r="6" spans="1:2" x14ac:dyDescent="0.2">
      <c r="A6" s="3" t="s">
        <v>53</v>
      </c>
      <c r="B6" t="s">
        <v>32</v>
      </c>
    </row>
    <row r="7" spans="1:2" x14ac:dyDescent="0.2">
      <c r="A7" s="3" t="s">
        <v>54</v>
      </c>
      <c r="B7" t="s">
        <v>33</v>
      </c>
    </row>
    <row r="8" spans="1:2" x14ac:dyDescent="0.2">
      <c r="A8" s="3" t="s">
        <v>55</v>
      </c>
      <c r="B8" t="s">
        <v>34</v>
      </c>
    </row>
    <row r="9" spans="1:2" x14ac:dyDescent="0.2">
      <c r="A9" s="3" t="s">
        <v>56</v>
      </c>
      <c r="B9" t="s">
        <v>35</v>
      </c>
    </row>
    <row r="10" spans="1:2" x14ac:dyDescent="0.2">
      <c r="A10" s="3" t="s">
        <v>57</v>
      </c>
      <c r="B10" t="s">
        <v>64</v>
      </c>
    </row>
    <row r="11" spans="1:2" x14ac:dyDescent="0.2">
      <c r="A11" s="3" t="s">
        <v>58</v>
      </c>
      <c r="B11" t="s">
        <v>65</v>
      </c>
    </row>
    <row r="12" spans="1:2" x14ac:dyDescent="0.2">
      <c r="A12" s="3" t="s">
        <v>59</v>
      </c>
      <c r="B12" t="s">
        <v>66</v>
      </c>
    </row>
    <row r="13" spans="1:2" x14ac:dyDescent="0.2">
      <c r="A13" s="3" t="s">
        <v>36</v>
      </c>
      <c r="B13" t="s">
        <v>36</v>
      </c>
    </row>
    <row r="14" spans="1:2" x14ac:dyDescent="0.2">
      <c r="A14" s="3" t="s">
        <v>60</v>
      </c>
      <c r="B14" t="s">
        <v>37</v>
      </c>
    </row>
    <row r="15" spans="1:2" x14ac:dyDescent="0.2">
      <c r="A15" s="3" t="s">
        <v>61</v>
      </c>
      <c r="B15" t="s">
        <v>67</v>
      </c>
    </row>
    <row r="16" spans="1:2" x14ac:dyDescent="0.2">
      <c r="A16" s="3" t="s">
        <v>62</v>
      </c>
      <c r="B16" t="s">
        <v>68</v>
      </c>
    </row>
    <row r="17" spans="1:2" x14ac:dyDescent="0.2">
      <c r="A17" t="s">
        <v>63</v>
      </c>
      <c r="B17" t="s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3D807-CD20-5349-AE09-A7670CD0E692}">
  <dimension ref="A1:G23"/>
  <sheetViews>
    <sheetView tabSelected="1" workbookViewId="0">
      <selection activeCell="C4" sqref="C4"/>
    </sheetView>
  </sheetViews>
  <sheetFormatPr baseColWidth="10" defaultRowHeight="16" x14ac:dyDescent="0.2"/>
  <cols>
    <col min="1" max="1" width="47.83203125" customWidth="1"/>
    <col min="2" max="2" width="10.83203125" style="9"/>
    <col min="3" max="3" width="58.33203125" customWidth="1"/>
    <col min="4" max="4" width="20.6640625" customWidth="1"/>
    <col min="5" max="5" width="23.6640625" customWidth="1"/>
    <col min="6" max="7" width="18" customWidth="1"/>
  </cols>
  <sheetData>
    <row r="1" spans="1:7" ht="25" customHeight="1" x14ac:dyDescent="0.2">
      <c r="A1" t="s">
        <v>38</v>
      </c>
      <c r="C1" t="str">
        <f>+VLOOKUP(A2,'paste-csv-here'!B:F,2,FALSE)</f>
        <v>Volatile Organic Compounds (VOC) Emissions</v>
      </c>
    </row>
    <row r="2" spans="1:7" ht="25" customHeight="1" x14ac:dyDescent="0.2">
      <c r="A2">
        <v>30</v>
      </c>
      <c r="C2" t="str">
        <f>+_xlfn.CONCAT("R-squared = ",TEXT(VLOOKUP(A2,'paste-csv-here'!B:F,3,FALSE),"0.000"))</f>
        <v>R-squared = 0.389</v>
      </c>
    </row>
    <row r="3" spans="1:7" ht="25" customHeight="1" x14ac:dyDescent="0.2"/>
    <row r="4" spans="1:7" ht="25" customHeight="1" x14ac:dyDescent="0.2">
      <c r="C4" s="7" t="s">
        <v>40</v>
      </c>
      <c r="D4" s="8" t="s">
        <v>39</v>
      </c>
      <c r="E4" s="8" t="s">
        <v>39</v>
      </c>
      <c r="F4" s="8" t="s">
        <v>41</v>
      </c>
      <c r="G4" s="8" t="s">
        <v>69</v>
      </c>
    </row>
    <row r="5" spans="1:7" ht="25" customHeight="1" x14ac:dyDescent="0.2">
      <c r="A5" t="s">
        <v>26</v>
      </c>
      <c r="C5" t="s">
        <v>42</v>
      </c>
      <c r="D5" s="5">
        <f>+SUMIFS('paste-csv-here'!F:F,'paste-csv-here'!E:E,A5,'paste-csv-here'!B:B,A$2)</f>
        <v>0</v>
      </c>
      <c r="E5" s="10">
        <f>+ROUND(D5, sigfigs - 1 - INT(LOG10(ABS(D5+1))))</f>
        <v>0</v>
      </c>
      <c r="F5" s="6">
        <f>+SUMIFS('paste-csv-here'!H:H,'paste-csv-here'!E:E,A5,'paste-csv-here'!B:B,A$2)</f>
        <v>0</v>
      </c>
      <c r="G5" s="6">
        <f>+SUMIFS('paste-csv-here'!I:I,'paste-csv-here'!E:E,A5,'paste-csv-here'!B:B,A$2)</f>
        <v>0</v>
      </c>
    </row>
    <row r="6" spans="1:7" ht="25" customHeight="1" x14ac:dyDescent="0.2">
      <c r="A6" s="4" t="s">
        <v>49</v>
      </c>
      <c r="C6" t="str">
        <f>+VLOOKUP(A6,coeff_names!A:B,2,FALSE)</f>
        <v>Automated vehicle adoption rate</v>
      </c>
      <c r="D6" s="5">
        <f>+SUMIFS('paste-csv-here'!F:F,'paste-csv-here'!E:E,A6,'paste-csv-here'!B:B,A$2)</f>
        <v>-10422640.42</v>
      </c>
      <c r="E6" s="10">
        <f t="shared" ref="E5:E20" si="0">+ROUND(D6, sigfigs - 1 - INT(LOG10(ABS(D6+1))))</f>
        <v>-10420000</v>
      </c>
      <c r="F6" s="6">
        <f>+SUMIFS('paste-csv-here'!H:H,'paste-csv-here'!E:E,A6,'paste-csv-here'!B:B,A$2)</f>
        <v>-0.39186832700000002</v>
      </c>
      <c r="G6" s="6">
        <f>+SUMIFS('paste-csv-here'!I:I,'paste-csv-here'!E:E,A6,'paste-csv-here'!B:B,A$2)</f>
        <v>0.69594971500000002</v>
      </c>
    </row>
    <row r="7" spans="1:7" ht="25" customHeight="1" x14ac:dyDescent="0.2">
      <c r="A7" s="4" t="s">
        <v>50</v>
      </c>
      <c r="C7" t="str">
        <f>+VLOOKUP(A7,coeff_names!A:B,2,FALSE)</f>
        <v>Electric vehicle adoption rate</v>
      </c>
      <c r="D7" s="5">
        <f>+SUMIFS('paste-csv-here'!F:F,'paste-csv-here'!E:E,A7,'paste-csv-here'!B:B,A$2)</f>
        <v>-153741470.30000001</v>
      </c>
      <c r="E7" s="10">
        <f t="shared" si="0"/>
        <v>-153700000</v>
      </c>
      <c r="F7" s="6">
        <f>+SUMIFS('paste-csv-here'!H:H,'paste-csv-here'!E:E,A7,'paste-csv-here'!B:B,A$2)</f>
        <v>-5.5646585079999999</v>
      </c>
      <c r="G7" s="6">
        <f>+SUMIFS('paste-csv-here'!I:I,'paste-csv-here'!E:E,A7,'paste-csv-here'!B:B,A$2)</f>
        <v>2.0200000000000001E-7</v>
      </c>
    </row>
    <row r="8" spans="1:7" ht="25" customHeight="1" x14ac:dyDescent="0.2">
      <c r="A8" t="s">
        <v>51</v>
      </c>
      <c r="C8" t="str">
        <f>+VLOOKUP(A8,coeff_names!A:B,2,FALSE)</f>
        <v>E-commerce level</v>
      </c>
      <c r="D8" s="5">
        <f>+SUMIFS('paste-csv-here'!F:F,'paste-csv-here'!E:E,A8,'paste-csv-here'!B:B,A$2)</f>
        <v>211808188</v>
      </c>
      <c r="E8" s="10">
        <f t="shared" si="0"/>
        <v>211800000</v>
      </c>
      <c r="F8" s="6">
        <f>+SUMIFS('paste-csv-here'!H:H,'paste-csv-here'!E:E,A8,'paste-csv-here'!B:B,A$2)</f>
        <v>1.5717768590000001</v>
      </c>
      <c r="G8" s="6">
        <f>+SUMIFS('paste-csv-here'!I:I,'paste-csv-here'!E:E,A8,'paste-csv-here'!B:B,A$2)</f>
        <v>0.119010908</v>
      </c>
    </row>
    <row r="9" spans="1:7" ht="25" customHeight="1" x14ac:dyDescent="0.2">
      <c r="A9" t="s">
        <v>52</v>
      </c>
      <c r="C9" t="str">
        <f>+VLOOKUP(A9,coeff_names!A:B,2,FALSE)</f>
        <v>Household and employment distribution</v>
      </c>
      <c r="D9" s="5">
        <f>+SUMIFS('paste-csv-here'!F:F,'paste-csv-here'!E:E,A9,'paste-csv-here'!B:B,A$2)</f>
        <v>6715475.0379999997</v>
      </c>
      <c r="E9" s="10">
        <f t="shared" si="0"/>
        <v>6715000</v>
      </c>
      <c r="F9" s="6">
        <f>+SUMIFS('paste-csv-here'!H:H,'paste-csv-here'!E:E,A9,'paste-csv-here'!B:B,A$2)</f>
        <v>0.25177197099999998</v>
      </c>
      <c r="G9" s="6">
        <f>+SUMIFS('paste-csv-here'!I:I,'paste-csv-here'!E:E,A9,'paste-csv-here'!B:B,A$2)</f>
        <v>0.80170945000000005</v>
      </c>
    </row>
    <row r="10" spans="1:7" ht="25" customHeight="1" x14ac:dyDescent="0.2">
      <c r="A10" t="s">
        <v>53</v>
      </c>
      <c r="C10" t="str">
        <f>+VLOOKUP(A10,coeff_names!A:B,2,FALSE)</f>
        <v>Household and employment growth</v>
      </c>
      <c r="D10" s="5">
        <f>+SUMIFS('paste-csv-here'!F:F,'paste-csv-here'!E:E,A10,'paste-csv-here'!B:B,A$2)</f>
        <v>93368479.079999998</v>
      </c>
      <c r="E10" s="10">
        <f t="shared" si="0"/>
        <v>93370000</v>
      </c>
      <c r="F10" s="6">
        <f>+SUMIFS('paste-csv-here'!H:H,'paste-csv-here'!E:E,A10,'paste-csv-here'!B:B,A$2)</f>
        <v>3.449134023</v>
      </c>
      <c r="G10" s="6">
        <f>+SUMIFS('paste-csv-here'!I:I,'paste-csv-here'!E:E,A10,'paste-csv-here'!B:B,A$2)</f>
        <v>8.1074700000000001E-4</v>
      </c>
    </row>
    <row r="11" spans="1:7" ht="25" customHeight="1" x14ac:dyDescent="0.2">
      <c r="A11" t="s">
        <v>54</v>
      </c>
      <c r="C11" t="str">
        <f>+VLOOKUP(A11,coeff_names!A:B,2,FALSE)</f>
        <v>Heavy and medium truck travel</v>
      </c>
      <c r="D11" s="5">
        <f>+SUMIFS('paste-csv-here'!F:F,'paste-csv-here'!E:E,A11,'paste-csv-here'!B:B,A$2)</f>
        <v>21616367.57</v>
      </c>
      <c r="E11" s="10">
        <f t="shared" si="0"/>
        <v>21620000</v>
      </c>
      <c r="F11" s="6">
        <f>+SUMIFS('paste-csv-here'!H:H,'paste-csv-here'!E:E,A11,'paste-csv-here'!B:B,A$2)</f>
        <v>0.80807258199999998</v>
      </c>
      <c r="G11" s="6">
        <f>+SUMIFS('paste-csv-here'!I:I,'paste-csv-here'!E:E,A11,'paste-csv-here'!B:B,A$2)</f>
        <v>0.42087578399999998</v>
      </c>
    </row>
    <row r="12" spans="1:7" ht="25" customHeight="1" x14ac:dyDescent="0.2">
      <c r="A12" t="s">
        <v>55</v>
      </c>
      <c r="C12" t="str">
        <f>+VLOOKUP(A12,coeff_names!A:B,2,FALSE)</f>
        <v>Incentives for special populations</v>
      </c>
      <c r="D12" s="5">
        <f>+SUMIFS('paste-csv-here'!F:F,'paste-csv-here'!E:E,A12,'paste-csv-here'!B:B,A$2)</f>
        <v>29546661.27</v>
      </c>
      <c r="E12" s="10">
        <f t="shared" si="0"/>
        <v>29550000</v>
      </c>
      <c r="F12" s="6">
        <f>+SUMIFS('paste-csv-here'!H:H,'paste-csv-here'!E:E,A12,'paste-csv-here'!B:B,A$2)</f>
        <v>0.55108215299999996</v>
      </c>
      <c r="G12" s="6">
        <f>+SUMIFS('paste-csv-here'!I:I,'paste-csv-here'!E:E,A12,'paste-csv-here'!B:B,A$2)</f>
        <v>0.58274809599999999</v>
      </c>
    </row>
    <row r="13" spans="1:7" ht="25" customHeight="1" x14ac:dyDescent="0.2">
      <c r="A13" t="s">
        <v>56</v>
      </c>
      <c r="C13" t="str">
        <f>+VLOOKUP(A13,coeff_names!A:B,2,FALSE)</f>
        <v>Road user fee</v>
      </c>
      <c r="D13" s="5">
        <f>+SUMIFS('paste-csv-here'!F:F,'paste-csv-here'!E:E,A13,'paste-csv-here'!B:B,A$2)</f>
        <v>-828495788.10000002</v>
      </c>
      <c r="E13" s="10">
        <f t="shared" si="0"/>
        <v>-828500000</v>
      </c>
      <c r="F13" s="6">
        <f>+SUMIFS('paste-csv-here'!H:H,'paste-csv-here'!E:E,A13,'paste-csv-here'!B:B,A$2)</f>
        <v>-3.0651705059999999</v>
      </c>
      <c r="G13" s="6">
        <f>+SUMIFS('paste-csv-here'!I:I,'paste-csv-here'!E:E,A13,'paste-csv-here'!B:B,A$2)</f>
        <v>2.7656069999999998E-3</v>
      </c>
    </row>
    <row r="14" spans="1:7" ht="25" customHeight="1" x14ac:dyDescent="0.2">
      <c r="A14" t="s">
        <v>57</v>
      </c>
      <c r="C14" t="str">
        <f>+VLOOKUP(A14,coeff_names!A:B,2,FALSE)</f>
        <v>Roadway capacity improvements -- specific to "All"</v>
      </c>
      <c r="D14" s="5">
        <f>+SUMIFS('paste-csv-here'!F:F,'paste-csv-here'!E:E,A14,'paste-csv-here'!B:B,A$2)</f>
        <v>585831.68000000005</v>
      </c>
      <c r="E14" s="10">
        <f t="shared" si="0"/>
        <v>585800</v>
      </c>
      <c r="F14" s="6">
        <f>+SUMIFS('paste-csv-here'!H:H,'paste-csv-here'!E:E,A14,'paste-csv-here'!B:B,A$2)</f>
        <v>0</v>
      </c>
      <c r="G14" s="6">
        <f>+SUMIFS('paste-csv-here'!I:I,'paste-csv-here'!E:E,A14,'paste-csv-here'!B:B,A$2)</f>
        <v>0</v>
      </c>
    </row>
    <row r="15" spans="1:7" ht="25" customHeight="1" x14ac:dyDescent="0.2">
      <c r="A15" t="s">
        <v>58</v>
      </c>
      <c r="C15" t="str">
        <f>+VLOOKUP(A15,coeff_names!A:B,2,FALSE)</f>
        <v>Roadway capacity improvements -- specific to "High"</v>
      </c>
      <c r="D15" s="5">
        <f>+SUMIFS('paste-csv-here'!F:F,'paste-csv-here'!E:E,A15,'paste-csv-here'!B:B,A$2)</f>
        <v>-880882.96109999996</v>
      </c>
      <c r="E15" s="10">
        <f t="shared" si="0"/>
        <v>-880900</v>
      </c>
      <c r="F15" s="6">
        <f>+SUMIFS('paste-csv-here'!H:H,'paste-csv-here'!E:E,A15,'paste-csv-here'!B:B,A$2)</f>
        <v>0</v>
      </c>
      <c r="G15" s="6">
        <f>+SUMIFS('paste-csv-here'!I:I,'paste-csv-here'!E:E,A15,'paste-csv-here'!B:B,A$2)</f>
        <v>0</v>
      </c>
    </row>
    <row r="16" spans="1:7" ht="25" customHeight="1" x14ac:dyDescent="0.2">
      <c r="A16" t="s">
        <v>59</v>
      </c>
      <c r="C16" t="str">
        <f>+VLOOKUP(A16,coeff_names!A:B,2,FALSE)</f>
        <v>Roadway capacity improvements -- specific to "High" and "Medium"</v>
      </c>
      <c r="D16" s="5">
        <f>+SUMIFS('paste-csv-here'!F:F,'paste-csv-here'!E:E,A16,'paste-csv-here'!B:B,A$2)</f>
        <v>295051.28110000002</v>
      </c>
      <c r="E16" s="10">
        <f t="shared" si="0"/>
        <v>295100</v>
      </c>
      <c r="F16" s="6">
        <f>+SUMIFS('paste-csv-here'!H:H,'paste-csv-here'!E:E,A16,'paste-csv-here'!B:B,A$2)</f>
        <v>0</v>
      </c>
      <c r="G16" s="6">
        <f>+SUMIFS('paste-csv-here'!I:I,'paste-csv-here'!E:E,A16,'paste-csv-here'!B:B,A$2)</f>
        <v>0</v>
      </c>
    </row>
    <row r="17" spans="1:7" ht="25" customHeight="1" x14ac:dyDescent="0.2">
      <c r="A17" t="s">
        <v>36</v>
      </c>
      <c r="C17" t="str">
        <f>+VLOOKUP(A17,coeff_names!A:B,2,FALSE)</f>
        <v>Teleworking</v>
      </c>
      <c r="D17" s="5">
        <f>+SUMIFS('paste-csv-here'!F:F,'paste-csv-here'!E:E,A17,'paste-csv-here'!B:B,A$2)</f>
        <v>-126040110.8</v>
      </c>
      <c r="E17" s="10">
        <f t="shared" si="0"/>
        <v>-126000000</v>
      </c>
      <c r="F17" s="6">
        <f>+SUMIFS('paste-csv-here'!H:H,'paste-csv-here'!E:E,A17,'paste-csv-here'!B:B,A$2)</f>
        <v>-1.4558860899999999</v>
      </c>
      <c r="G17" s="6">
        <f>+SUMIFS('paste-csv-here'!I:I,'paste-csv-here'!E:E,A17,'paste-csv-here'!B:B,A$2)</f>
        <v>0.14840767199999999</v>
      </c>
    </row>
    <row r="18" spans="1:7" ht="25" customHeight="1" x14ac:dyDescent="0.2">
      <c r="A18" t="s">
        <v>60</v>
      </c>
      <c r="C18" t="str">
        <f>+VLOOKUP(A18,coeff_names!A:B,2,FALSE)</f>
        <v>Transit headways</v>
      </c>
      <c r="D18" s="5">
        <f>+SUMIFS('paste-csv-here'!F:F,'paste-csv-here'!E:E,A18,'paste-csv-here'!B:B,A$2)</f>
        <v>-38544754.649999999</v>
      </c>
      <c r="E18" s="10">
        <f t="shared" si="0"/>
        <v>-38540000</v>
      </c>
      <c r="F18" s="6">
        <f>+SUMIFS('paste-csv-here'!H:H,'paste-csv-here'!E:E,A18,'paste-csv-here'!B:B,A$2)</f>
        <v>-2.1722130000000002</v>
      </c>
      <c r="G18" s="6">
        <f>+SUMIFS('paste-csv-here'!I:I,'paste-csv-here'!E:E,A18,'paste-csv-here'!B:B,A$2)</f>
        <v>3.2089373999999997E-2</v>
      </c>
    </row>
    <row r="19" spans="1:7" ht="25" customHeight="1" x14ac:dyDescent="0.2">
      <c r="A19" t="s">
        <v>61</v>
      </c>
      <c r="C19" t="str">
        <f>+VLOOKUP(A19,coeff_names!A:B,2,FALSE)</f>
        <v>Transit service expansion -- specific to "Yes"</v>
      </c>
      <c r="D19" s="5">
        <f>+SUMIFS('paste-csv-here'!F:F,'paste-csv-here'!E:E,A19,'paste-csv-here'!B:B,A$2)</f>
        <v>-3701087.2009999999</v>
      </c>
      <c r="E19" s="10">
        <f t="shared" si="0"/>
        <v>-3701000</v>
      </c>
      <c r="F19" s="6">
        <f>+SUMIFS('paste-csv-here'!H:H,'paste-csv-here'!E:E,A19,'paste-csv-here'!B:B,A$2)</f>
        <v>-7.8299999999999996E-9</v>
      </c>
      <c r="G19" s="6">
        <f>+SUMIFS('paste-csv-here'!I:I,'paste-csv-here'!E:E,A19,'paste-csv-here'!B:B,A$2)</f>
        <v>0.99999999399999995</v>
      </c>
    </row>
    <row r="20" spans="1:7" ht="25" customHeight="1" x14ac:dyDescent="0.2">
      <c r="A20" t="s">
        <v>62</v>
      </c>
      <c r="C20" t="str">
        <f>+VLOOKUP(A20,coeff_names!A:B,2,FALSE)</f>
        <v>Transit service expansion -- specific to "No"</v>
      </c>
      <c r="D20" s="5">
        <f>+SUMIFS('paste-csv-here'!F:F,'paste-csv-here'!E:E,A20,'paste-csv-here'!B:B,A$2)</f>
        <v>0</v>
      </c>
      <c r="E20" s="10">
        <f t="shared" si="0"/>
        <v>0</v>
      </c>
      <c r="F20" s="6">
        <f>+SUMIFS('paste-csv-here'!H:H,'paste-csv-here'!E:E,A20,'paste-csv-here'!B:B,A$2)</f>
        <v>0</v>
      </c>
      <c r="G20" s="6">
        <f>+SUMIFS('paste-csv-here'!I:I,'paste-csv-here'!E:E,A20,'paste-csv-here'!B:B,A$2)</f>
        <v>0</v>
      </c>
    </row>
    <row r="21" spans="1:7" x14ac:dyDescent="0.2">
      <c r="A21" t="s">
        <v>63</v>
      </c>
      <c r="E21" s="11"/>
    </row>
    <row r="23" spans="1:7" x14ac:dyDescent="0.2">
      <c r="A23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9096ad9-8b60-446a-90b7-017dbb9421a3}" enabled="1" method="Standard" siteId="{3d234255-e20f-4205-88a5-9658a402999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paste-csv-here</vt:lpstr>
      <vt:lpstr>coeff_names</vt:lpstr>
      <vt:lpstr>model-01</vt:lpstr>
      <vt:lpstr>sigfigs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Ory, David</cp:lastModifiedBy>
  <dcterms:created xsi:type="dcterms:W3CDTF">2025-06-09T13:19:21Z</dcterms:created>
  <dcterms:modified xsi:type="dcterms:W3CDTF">2025-06-17T14:40:04Z</dcterms:modified>
</cp:coreProperties>
</file>