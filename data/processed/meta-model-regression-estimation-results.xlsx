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sp/Documents/GitHub/client_pag_exploratory/data/processed/"/>
    </mc:Choice>
  </mc:AlternateContent>
  <xr:revisionPtr revIDLastSave="0" documentId="13_ncr:9_{C5A3B3C1-4860-0A40-AFFC-F23663DEE5EC}" xr6:coauthVersionLast="47" xr6:coauthVersionMax="47" xr10:uidLastSave="{00000000-0000-0000-0000-000000000000}"/>
  <bookViews>
    <workbookView xWindow="7400" yWindow="1060" windowWidth="37700" windowHeight="22420" activeTab="2" xr2:uid="{D6C2D426-401B-9F41-B936-EFC0C6EE1E7B}"/>
  </bookViews>
  <sheets>
    <sheet name="paste-csv-here" sheetId="1" r:id="rId1"/>
    <sheet name="coeff_names" sheetId="2" r:id="rId2"/>
    <sheet name="model-01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5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C2" i="3"/>
  <c r="C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</calcChain>
</file>

<file path=xl/sharedStrings.xml><?xml version="1.0" encoding="utf-8"?>
<sst xmlns="http://schemas.openxmlformats.org/spreadsheetml/2006/main" count="1019" uniqueCount="71">
  <si>
    <t>coeff_name</t>
  </si>
  <si>
    <t>coeff_value</t>
  </si>
  <si>
    <t>model_name</t>
  </si>
  <si>
    <t>coeff_00</t>
  </si>
  <si>
    <t>Auto Mode Share</t>
  </si>
  <si>
    <t>coeff_01</t>
  </si>
  <si>
    <t>coeff_02</t>
  </si>
  <si>
    <t>coeff_03</t>
  </si>
  <si>
    <t>coeff_04</t>
  </si>
  <si>
    <t>coeff_05</t>
  </si>
  <si>
    <t>coeff_06</t>
  </si>
  <si>
    <t>coeff_07</t>
  </si>
  <si>
    <t>coeff_08</t>
  </si>
  <si>
    <t>coeff_09</t>
  </si>
  <si>
    <t>coeff_10</t>
  </si>
  <si>
    <t>coeff_11</t>
  </si>
  <si>
    <t>coeff_12</t>
  </si>
  <si>
    <t>coeff_13</t>
  </si>
  <si>
    <t>coeff_14</t>
  </si>
  <si>
    <t>Bike Mode Share</t>
  </si>
  <si>
    <t>Transit Mode Share</t>
  </si>
  <si>
    <t>Walk Mode Share</t>
  </si>
  <si>
    <t>Transit PMT</t>
  </si>
  <si>
    <t>Regional VMT</t>
  </si>
  <si>
    <t>Regional VMT per Capita</t>
  </si>
  <si>
    <t>Regional VHT</t>
  </si>
  <si>
    <t>Regional VHTper Capita</t>
  </si>
  <si>
    <t>Average Commute Time by Auto</t>
  </si>
  <si>
    <t>Average Commute Time by Transit</t>
  </si>
  <si>
    <t>Average Transit Travel Time</t>
  </si>
  <si>
    <t>Percentage of Population within Quarter Mile</t>
  </si>
  <si>
    <t>Percentage of Jobs within Quarter Mile</t>
  </si>
  <si>
    <t>AM Travel Time Index</t>
  </si>
  <si>
    <t>PM Travel Time Index</t>
  </si>
  <si>
    <t>Regional Speed</t>
  </si>
  <si>
    <t>Auto Accessibility Peak</t>
  </si>
  <si>
    <t>Auto Accessibility Peak within 30 Minutes</t>
  </si>
  <si>
    <t>Transit Accessibility Peak</t>
  </si>
  <si>
    <t>Transit Accessibility Off Peak within 45 Minutes</t>
  </si>
  <si>
    <t>Disadvantage Zone Auto Accessibility Peak for Jobs 0</t>
  </si>
  <si>
    <t>Disadvantage Zone Auto Accessibility Peak for Jobs 1</t>
  </si>
  <si>
    <t>Disadvantage Zone Transit Accessibility Peak within 45 Minutes for Jobs 0</t>
  </si>
  <si>
    <t>Disadvantage Zone Transit Accessibility Peak within 45 Minutes for Jobs 1</t>
  </si>
  <si>
    <t>Nitrous oxide (NOx) emissions</t>
  </si>
  <si>
    <t>Volatile organic compounds (VOC) emissions</t>
  </si>
  <si>
    <t>Greenhouse gas emissions (CO2) equivalent</t>
  </si>
  <si>
    <t>Particulate matter 2.5 micrometers or smaller emissions (PM2.5)</t>
  </si>
  <si>
    <t>intercept</t>
  </si>
  <si>
    <t>Carbon monoxide (CO) emissions</t>
  </si>
  <si>
    <t>label</t>
  </si>
  <si>
    <t>Automated vehicle adoption rate</t>
  </si>
  <si>
    <t>Electric vehicle adoption rate</t>
  </si>
  <si>
    <t>E-commerce level</t>
  </si>
  <si>
    <t>Household and employment distribution</t>
  </si>
  <si>
    <t>Household and employment growth</t>
  </si>
  <si>
    <t>Heavy and medium truck travel</t>
  </si>
  <si>
    <t>Incentives for special populations</t>
  </si>
  <si>
    <t>Road user fee</t>
  </si>
  <si>
    <t>Roadway capacity improvements</t>
  </si>
  <si>
    <t>Teleworking</t>
  </si>
  <si>
    <t>Transit headways</t>
  </si>
  <si>
    <t>Transit service expansion</t>
  </si>
  <si>
    <t>Unknown</t>
  </si>
  <si>
    <t>model</t>
  </si>
  <si>
    <t>Coefficient</t>
  </si>
  <si>
    <t>Variable</t>
  </si>
  <si>
    <t>t-statistic</t>
  </si>
  <si>
    <t>Intercept</t>
  </si>
  <si>
    <t>r-squared</t>
  </si>
  <si>
    <t>model_id</t>
  </si>
  <si>
    <t>t_stat_value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</si>
</sst>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0" borderId="0" xfId="0" applyFont="1"/>
    <xf numFmtId="0" fontId="0" fillId="0" borderId="0" xfId="0" quotePrefix="1"/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47DE-0000-DB40-9CEF-427FE540FA75}">
  <dimension ref="A1:H481"/>
  <sheetViews>
    <sheetView workbookViewId="0">
      <selection activeCell="B1" sqref="B1:G1048576"/>
    </sheetView>
  </sheetViews>
  <sheetFormatPr baseColWidth="10" defaultRowHeight="16" x14ac:dyDescent="0.2"/>
  <cols>
    <col min="1" max="1" width="10.83203125" style="2"/>
    <col min="8" max="8" width="10.83203125" style="2"/>
  </cols>
  <sheetData>
    <row r="1" spans="2:7" x14ac:dyDescent="0.2">
      <c r="B1" t="s">
        <v>69</v>
      </c>
      <c r="C1" t="s">
        <v>2</v>
      </c>
      <c r="D1" t="s">
        <v>68</v>
      </c>
      <c r="E1" t="s">
        <v>0</v>
      </c>
      <c r="F1" t="s">
        <v>1</v>
      </c>
      <c r="G1" t="s">
        <v>70</v>
      </c>
    </row>
    <row r="2" spans="2:7" x14ac:dyDescent="0.2">
      <c r="B2">
        <v>1</v>
      </c>
      <c r="C2" t="s">
        <v>32</v>
      </c>
      <c r="D2">
        <v>0.87687900178642697</v>
      </c>
      <c r="E2" t="s">
        <v>3</v>
      </c>
      <c r="F2">
        <v>0.107443867234534</v>
      </c>
      <c r="G2">
        <v>9.8786300162749896</v>
      </c>
    </row>
    <row r="3" spans="2:7" x14ac:dyDescent="0.2">
      <c r="B3">
        <v>1</v>
      </c>
      <c r="C3" t="s">
        <v>32</v>
      </c>
      <c r="D3">
        <v>0.87687900178642697</v>
      </c>
      <c r="E3" t="s">
        <v>5</v>
      </c>
      <c r="F3">
        <v>7.7043088776467998E-3</v>
      </c>
      <c r="G3">
        <v>0.71890189844510699</v>
      </c>
    </row>
    <row r="4" spans="2:7" x14ac:dyDescent="0.2">
      <c r="B4">
        <v>1</v>
      </c>
      <c r="C4" t="s">
        <v>32</v>
      </c>
      <c r="D4">
        <v>0.87687900178642697</v>
      </c>
      <c r="E4" t="s">
        <v>6</v>
      </c>
      <c r="F4">
        <v>-0.242535205195929</v>
      </c>
      <c r="G4">
        <v>-22.695643355757198</v>
      </c>
    </row>
    <row r="5" spans="2:7" x14ac:dyDescent="0.2">
      <c r="B5">
        <v>1</v>
      </c>
      <c r="C5" t="s">
        <v>32</v>
      </c>
      <c r="D5">
        <v>0.87687900178642697</v>
      </c>
      <c r="E5" t="s">
        <v>7</v>
      </c>
      <c r="F5">
        <v>3.4418623558664298E-2</v>
      </c>
      <c r="G5">
        <v>3.10060390052565</v>
      </c>
    </row>
    <row r="6" spans="2:7" x14ac:dyDescent="0.2">
      <c r="B6">
        <v>1</v>
      </c>
      <c r="C6" t="s">
        <v>32</v>
      </c>
      <c r="D6">
        <v>0.87687900178642697</v>
      </c>
      <c r="E6" t="s">
        <v>8</v>
      </c>
      <c r="F6">
        <v>-0.13537961154504499</v>
      </c>
      <c r="G6">
        <v>-3.8920390320494902</v>
      </c>
    </row>
    <row r="7" spans="2:7" x14ac:dyDescent="0.2">
      <c r="B7">
        <v>1</v>
      </c>
      <c r="C7" s="1" t="s">
        <v>32</v>
      </c>
      <c r="D7">
        <v>0.87687900178642697</v>
      </c>
      <c r="E7" t="s">
        <v>9</v>
      </c>
      <c r="F7">
        <v>1.7979835761534502E-2</v>
      </c>
      <c r="G7">
        <v>1.67285646064339</v>
      </c>
    </row>
    <row r="8" spans="2:7" x14ac:dyDescent="0.2">
      <c r="B8">
        <v>1</v>
      </c>
      <c r="C8" t="s">
        <v>32</v>
      </c>
      <c r="D8">
        <v>0.87687900178642697</v>
      </c>
      <c r="E8" t="s">
        <v>10</v>
      </c>
      <c r="F8">
        <v>0.15415131596777801</v>
      </c>
      <c r="G8">
        <v>2.8470866523530201</v>
      </c>
    </row>
    <row r="9" spans="2:7" x14ac:dyDescent="0.2">
      <c r="B9">
        <v>1</v>
      </c>
      <c r="C9" t="s">
        <v>32</v>
      </c>
      <c r="D9">
        <v>0.87687900178642697</v>
      </c>
      <c r="E9" t="s">
        <v>11</v>
      </c>
      <c r="F9">
        <v>-7.6861546976954203E-3</v>
      </c>
      <c r="G9">
        <v>-1.0780813846707999</v>
      </c>
    </row>
    <row r="10" spans="2:7" x14ac:dyDescent="0.2">
      <c r="B10">
        <v>1</v>
      </c>
      <c r="C10" t="s">
        <v>32</v>
      </c>
      <c r="D10">
        <v>0.87687900178642697</v>
      </c>
      <c r="E10" t="s">
        <v>12</v>
      </c>
      <c r="F10">
        <v>-0.23969440656493199</v>
      </c>
      <c r="G10">
        <v>-2.2071280801755302</v>
      </c>
    </row>
    <row r="11" spans="2:7" x14ac:dyDescent="0.2">
      <c r="B11">
        <v>1</v>
      </c>
      <c r="C11" t="s">
        <v>32</v>
      </c>
      <c r="D11">
        <v>0.87687900178642697</v>
      </c>
      <c r="E11" t="s">
        <v>13</v>
      </c>
      <c r="F11">
        <v>1.6637892553642199E-3</v>
      </c>
      <c r="G11">
        <v>7.7234537760817804E-2</v>
      </c>
    </row>
    <row r="12" spans="2:7" x14ac:dyDescent="0.2">
      <c r="B12">
        <v>1</v>
      </c>
      <c r="C12" t="s">
        <v>32</v>
      </c>
      <c r="D12">
        <v>0.87687900178642697</v>
      </c>
      <c r="E12" t="s">
        <v>14</v>
      </c>
      <c r="F12">
        <v>5.7936626327297503E-4</v>
      </c>
    </row>
    <row r="13" spans="2:7" x14ac:dyDescent="0.2">
      <c r="B13">
        <v>1</v>
      </c>
      <c r="C13" t="s">
        <v>32</v>
      </c>
      <c r="D13">
        <v>0.87687900178642697</v>
      </c>
      <c r="E13" t="s">
        <v>15</v>
      </c>
      <c r="F13">
        <v>-5.7936626327251696E-4</v>
      </c>
    </row>
    <row r="14" spans="2:7" x14ac:dyDescent="0.2">
      <c r="B14">
        <v>1</v>
      </c>
      <c r="C14" t="s">
        <v>32</v>
      </c>
      <c r="D14">
        <v>0.87687900178642697</v>
      </c>
      <c r="E14" t="s">
        <v>16</v>
      </c>
      <c r="F14">
        <v>-7.1338570820965097E-3</v>
      </c>
    </row>
    <row r="15" spans="2:7" x14ac:dyDescent="0.2">
      <c r="B15">
        <v>1</v>
      </c>
      <c r="C15" t="s">
        <v>32</v>
      </c>
      <c r="D15">
        <v>0.87687900178642697</v>
      </c>
      <c r="E15" t="s">
        <v>17</v>
      </c>
      <c r="F15">
        <v>1.3379735994014401E-2</v>
      </c>
    </row>
    <row r="16" spans="2:7" x14ac:dyDescent="0.2">
      <c r="B16">
        <v>1</v>
      </c>
      <c r="C16" t="s">
        <v>32</v>
      </c>
      <c r="D16">
        <v>0.87687900178642697</v>
      </c>
      <c r="E16" t="s">
        <v>18</v>
      </c>
      <c r="F16">
        <v>-6.2458789119191598E-3</v>
      </c>
    </row>
    <row r="17" spans="2:7" x14ac:dyDescent="0.2">
      <c r="B17">
        <v>1</v>
      </c>
      <c r="C17" t="s">
        <v>32</v>
      </c>
      <c r="D17">
        <v>0.87687900178642697</v>
      </c>
      <c r="E17" t="s">
        <v>47</v>
      </c>
      <c r="F17">
        <v>1.4638020578225399</v>
      </c>
    </row>
    <row r="18" spans="2:7" x14ac:dyDescent="0.2">
      <c r="B18">
        <v>2</v>
      </c>
      <c r="C18" t="s">
        <v>35</v>
      </c>
      <c r="D18">
        <v>0.82614830055628097</v>
      </c>
      <c r="E18" t="s">
        <v>3</v>
      </c>
      <c r="F18">
        <v>-2808.9308834851199</v>
      </c>
      <c r="G18">
        <v>-2.6623280192274001</v>
      </c>
    </row>
    <row r="19" spans="2:7" x14ac:dyDescent="0.2">
      <c r="B19">
        <v>2</v>
      </c>
      <c r="C19" t="s">
        <v>35</v>
      </c>
      <c r="D19">
        <v>0.82614830055628097</v>
      </c>
      <c r="E19" t="s">
        <v>5</v>
      </c>
      <c r="F19">
        <v>3886.2747812703401</v>
      </c>
      <c r="G19">
        <v>3.73830619142631</v>
      </c>
    </row>
    <row r="20" spans="2:7" x14ac:dyDescent="0.2">
      <c r="B20">
        <v>2</v>
      </c>
      <c r="C20" t="s">
        <v>35</v>
      </c>
      <c r="D20">
        <v>0.82614830055628097</v>
      </c>
      <c r="E20" t="s">
        <v>6</v>
      </c>
      <c r="F20">
        <v>20661.6438680428</v>
      </c>
      <c r="G20">
        <v>19.931409108356</v>
      </c>
    </row>
    <row r="21" spans="2:7" x14ac:dyDescent="0.2">
      <c r="B21">
        <v>2</v>
      </c>
      <c r="C21" t="s">
        <v>35</v>
      </c>
      <c r="D21">
        <v>0.82614830055628097</v>
      </c>
      <c r="E21" t="s">
        <v>7</v>
      </c>
      <c r="F21">
        <v>-3437.1534768547199</v>
      </c>
      <c r="G21">
        <v>-3.1919577676512598</v>
      </c>
    </row>
    <row r="22" spans="2:7" x14ac:dyDescent="0.2">
      <c r="B22">
        <v>2</v>
      </c>
      <c r="C22" t="s">
        <v>35</v>
      </c>
      <c r="D22">
        <v>0.82614830055628097</v>
      </c>
      <c r="E22" t="s">
        <v>8</v>
      </c>
      <c r="F22">
        <v>15707.1383916491</v>
      </c>
      <c r="G22">
        <v>4.6550721305929503</v>
      </c>
    </row>
    <row r="23" spans="2:7" x14ac:dyDescent="0.2">
      <c r="B23">
        <v>2</v>
      </c>
      <c r="C23" t="s">
        <v>35</v>
      </c>
      <c r="D23">
        <v>0.82614830055628097</v>
      </c>
      <c r="E23" t="s">
        <v>9</v>
      </c>
      <c r="F23">
        <v>-1262.0155451993701</v>
      </c>
      <c r="G23">
        <v>-1.21043948825754</v>
      </c>
    </row>
    <row r="24" spans="2:7" x14ac:dyDescent="0.2">
      <c r="B24">
        <v>2</v>
      </c>
      <c r="C24" t="s">
        <v>35</v>
      </c>
      <c r="D24">
        <v>0.82614830055628097</v>
      </c>
      <c r="E24" t="s">
        <v>10</v>
      </c>
      <c r="F24">
        <v>-14313.0565827181</v>
      </c>
      <c r="G24">
        <v>-2.7251553081664102</v>
      </c>
    </row>
    <row r="25" spans="2:7" x14ac:dyDescent="0.2">
      <c r="B25">
        <v>2</v>
      </c>
      <c r="C25" t="s">
        <v>35</v>
      </c>
      <c r="D25">
        <v>0.82614830055628097</v>
      </c>
      <c r="E25" t="s">
        <v>11</v>
      </c>
      <c r="F25">
        <v>1353.23276183705</v>
      </c>
      <c r="G25">
        <v>1.95668245404707</v>
      </c>
    </row>
    <row r="26" spans="2:7" x14ac:dyDescent="0.2">
      <c r="B26">
        <v>2</v>
      </c>
      <c r="C26" t="s">
        <v>35</v>
      </c>
      <c r="D26">
        <v>0.82614830055628097</v>
      </c>
      <c r="E26" t="s">
        <v>12</v>
      </c>
      <c r="F26">
        <v>7370.86894815921</v>
      </c>
      <c r="G26">
        <v>0.69967079651384601</v>
      </c>
    </row>
    <row r="27" spans="2:7" x14ac:dyDescent="0.2">
      <c r="B27">
        <v>2</v>
      </c>
      <c r="C27" s="1" t="s">
        <v>35</v>
      </c>
      <c r="D27">
        <v>0.82614830055628097</v>
      </c>
      <c r="E27" t="s">
        <v>13</v>
      </c>
      <c r="F27">
        <v>-1147.8387433361499</v>
      </c>
      <c r="G27">
        <v>-0.54928727366568797</v>
      </c>
    </row>
    <row r="28" spans="2:7" x14ac:dyDescent="0.2">
      <c r="B28">
        <v>2</v>
      </c>
      <c r="C28" s="1" t="s">
        <v>35</v>
      </c>
      <c r="D28">
        <v>0.82614830055628097</v>
      </c>
      <c r="E28" t="s">
        <v>14</v>
      </c>
      <c r="F28">
        <v>-194.54313852469099</v>
      </c>
    </row>
    <row r="29" spans="2:7" x14ac:dyDescent="0.2">
      <c r="B29">
        <v>2</v>
      </c>
      <c r="C29" s="1" t="s">
        <v>35</v>
      </c>
      <c r="D29">
        <v>0.82614830055628097</v>
      </c>
      <c r="E29" t="s">
        <v>15</v>
      </c>
      <c r="F29">
        <v>194.54313852466399</v>
      </c>
    </row>
    <row r="30" spans="2:7" x14ac:dyDescent="0.2">
      <c r="B30">
        <v>2</v>
      </c>
      <c r="C30" s="1" t="s">
        <v>35</v>
      </c>
      <c r="D30">
        <v>0.82614830055628097</v>
      </c>
      <c r="E30" t="s">
        <v>16</v>
      </c>
      <c r="F30">
        <v>295.89861862343599</v>
      </c>
    </row>
    <row r="31" spans="2:7" x14ac:dyDescent="0.2">
      <c r="B31">
        <v>2</v>
      </c>
      <c r="C31" s="1" t="s">
        <v>35</v>
      </c>
      <c r="D31">
        <v>0.82614830055628097</v>
      </c>
      <c r="E31" t="s">
        <v>17</v>
      </c>
      <c r="F31">
        <v>-689.72722241258998</v>
      </c>
    </row>
    <row r="32" spans="2:7" x14ac:dyDescent="0.2">
      <c r="B32">
        <v>2</v>
      </c>
      <c r="C32" t="s">
        <v>35</v>
      </c>
      <c r="D32">
        <v>0.82614830055628097</v>
      </c>
      <c r="E32" t="s">
        <v>18</v>
      </c>
      <c r="F32">
        <v>393.82860378920901</v>
      </c>
    </row>
    <row r="33" spans="2:7" x14ac:dyDescent="0.2">
      <c r="B33">
        <v>2</v>
      </c>
      <c r="C33" t="s">
        <v>35</v>
      </c>
      <c r="D33">
        <v>0.82614830055628097</v>
      </c>
      <c r="E33" t="s">
        <v>47</v>
      </c>
      <c r="F33">
        <v>36805.6530929898</v>
      </c>
    </row>
    <row r="34" spans="2:7" x14ac:dyDescent="0.2">
      <c r="B34">
        <v>3</v>
      </c>
      <c r="C34" t="s">
        <v>36</v>
      </c>
      <c r="D34">
        <v>0.85480290850304097</v>
      </c>
      <c r="E34" t="s">
        <v>3</v>
      </c>
      <c r="F34">
        <v>-14890.1837848138</v>
      </c>
      <c r="G34">
        <v>-2.83985900038582</v>
      </c>
    </row>
    <row r="35" spans="2:7" x14ac:dyDescent="0.2">
      <c r="B35">
        <v>3</v>
      </c>
      <c r="C35" t="s">
        <v>36</v>
      </c>
      <c r="D35">
        <v>0.85480290850304097</v>
      </c>
      <c r="E35" t="s">
        <v>5</v>
      </c>
      <c r="F35">
        <v>18983.453381526699</v>
      </c>
      <c r="G35">
        <v>3.6744538370180302</v>
      </c>
    </row>
    <row r="36" spans="2:7" x14ac:dyDescent="0.2">
      <c r="B36">
        <v>3</v>
      </c>
      <c r="C36" t="s">
        <v>36</v>
      </c>
      <c r="D36">
        <v>0.85480290850304097</v>
      </c>
      <c r="E36" t="s">
        <v>6</v>
      </c>
      <c r="F36">
        <v>114829.420631138</v>
      </c>
      <c r="G36">
        <v>22.2896123418884</v>
      </c>
    </row>
    <row r="37" spans="2:7" x14ac:dyDescent="0.2">
      <c r="B37">
        <v>3</v>
      </c>
      <c r="C37" t="s">
        <v>36</v>
      </c>
      <c r="D37">
        <v>0.85480290850304097</v>
      </c>
      <c r="E37" t="s">
        <v>7</v>
      </c>
      <c r="F37">
        <v>-17980.276496830302</v>
      </c>
      <c r="G37">
        <v>-3.3599343178466299</v>
      </c>
    </row>
    <row r="38" spans="2:7" x14ac:dyDescent="0.2">
      <c r="B38">
        <v>3</v>
      </c>
      <c r="C38" t="s">
        <v>36</v>
      </c>
      <c r="D38">
        <v>0.85480290850304097</v>
      </c>
      <c r="E38" t="s">
        <v>8</v>
      </c>
      <c r="F38">
        <v>86162.313812702298</v>
      </c>
      <c r="G38">
        <v>5.1383408242547697</v>
      </c>
    </row>
    <row r="39" spans="2:7" x14ac:dyDescent="0.2">
      <c r="B39">
        <v>3</v>
      </c>
      <c r="C39" t="s">
        <v>36</v>
      </c>
      <c r="D39">
        <v>0.85480290850304097</v>
      </c>
      <c r="E39" t="s">
        <v>9</v>
      </c>
      <c r="F39">
        <v>-6314.7482040314799</v>
      </c>
      <c r="G39">
        <v>-1.21873876937696</v>
      </c>
    </row>
    <row r="40" spans="2:7" x14ac:dyDescent="0.2">
      <c r="B40">
        <v>3</v>
      </c>
      <c r="C40" t="s">
        <v>36</v>
      </c>
      <c r="D40">
        <v>0.85480290850304097</v>
      </c>
      <c r="E40" t="s">
        <v>10</v>
      </c>
      <c r="F40">
        <v>-79028.2286143612</v>
      </c>
      <c r="G40">
        <v>-3.0277312772879501</v>
      </c>
    </row>
    <row r="41" spans="2:7" x14ac:dyDescent="0.2">
      <c r="B41">
        <v>3</v>
      </c>
      <c r="C41" t="s">
        <v>36</v>
      </c>
      <c r="D41">
        <v>0.85480290850304097</v>
      </c>
      <c r="E41" t="s">
        <v>11</v>
      </c>
      <c r="F41">
        <v>6751.8465925640003</v>
      </c>
      <c r="G41">
        <v>1.9644755284568001</v>
      </c>
    </row>
    <row r="42" spans="2:7" x14ac:dyDescent="0.2">
      <c r="B42">
        <v>3</v>
      </c>
      <c r="C42" t="s">
        <v>36</v>
      </c>
      <c r="D42">
        <v>0.85480290850304097</v>
      </c>
      <c r="E42" t="s">
        <v>12</v>
      </c>
      <c r="F42">
        <v>34787.387430569201</v>
      </c>
      <c r="G42">
        <v>0.66446648664212205</v>
      </c>
    </row>
    <row r="43" spans="2:7" x14ac:dyDescent="0.2">
      <c r="B43">
        <v>3</v>
      </c>
      <c r="C43" t="s">
        <v>36</v>
      </c>
      <c r="D43">
        <v>0.85480290850304097</v>
      </c>
      <c r="E43" t="s">
        <v>13</v>
      </c>
      <c r="F43">
        <v>-4541.3258548672502</v>
      </c>
      <c r="G43">
        <v>-0.43729804164703201</v>
      </c>
    </row>
    <row r="44" spans="2:7" x14ac:dyDescent="0.2">
      <c r="B44">
        <v>3</v>
      </c>
      <c r="C44" t="s">
        <v>36</v>
      </c>
      <c r="D44">
        <v>0.85480290850304097</v>
      </c>
      <c r="E44" t="s">
        <v>14</v>
      </c>
      <c r="F44">
        <v>-1214.1859013649701</v>
      </c>
    </row>
    <row r="45" spans="2:7" x14ac:dyDescent="0.2">
      <c r="B45">
        <v>3</v>
      </c>
      <c r="C45" t="s">
        <v>36</v>
      </c>
      <c r="D45">
        <v>0.85480290850304097</v>
      </c>
      <c r="E45" t="s">
        <v>15</v>
      </c>
      <c r="F45">
        <v>1214.18590136483</v>
      </c>
    </row>
    <row r="46" spans="2:7" x14ac:dyDescent="0.2">
      <c r="B46">
        <v>3</v>
      </c>
      <c r="C46" t="s">
        <v>36</v>
      </c>
      <c r="D46">
        <v>0.85480290850304097</v>
      </c>
      <c r="E46" t="s">
        <v>16</v>
      </c>
      <c r="F46">
        <v>2721.1063137995402</v>
      </c>
    </row>
    <row r="47" spans="2:7" x14ac:dyDescent="0.2">
      <c r="B47">
        <v>3</v>
      </c>
      <c r="C47" t="s">
        <v>36</v>
      </c>
      <c r="D47">
        <v>0.85480290850304097</v>
      </c>
      <c r="E47" t="s">
        <v>17</v>
      </c>
      <c r="F47">
        <v>-4726.4115394462897</v>
      </c>
    </row>
    <row r="48" spans="2:7" x14ac:dyDescent="0.2">
      <c r="B48">
        <v>3</v>
      </c>
      <c r="C48" t="s">
        <v>36</v>
      </c>
      <c r="D48">
        <v>0.85480290850304097</v>
      </c>
      <c r="E48" t="s">
        <v>18</v>
      </c>
      <c r="F48">
        <v>2005.3052256470501</v>
      </c>
    </row>
    <row r="49" spans="2:7" x14ac:dyDescent="0.2">
      <c r="B49">
        <v>3</v>
      </c>
      <c r="C49" t="s">
        <v>36</v>
      </c>
      <c r="D49">
        <v>0.85480290850304097</v>
      </c>
      <c r="E49" t="s">
        <v>47</v>
      </c>
      <c r="F49">
        <v>182267.24982312199</v>
      </c>
    </row>
    <row r="50" spans="2:7" x14ac:dyDescent="0.2">
      <c r="B50">
        <v>4</v>
      </c>
      <c r="C50" t="s">
        <v>4</v>
      </c>
      <c r="D50">
        <v>0.97389719233268301</v>
      </c>
      <c r="E50" t="s">
        <v>3</v>
      </c>
      <c r="F50">
        <v>3.88345506014968E-4</v>
      </c>
      <c r="G50">
        <v>0.93106275320371201</v>
      </c>
    </row>
    <row r="51" spans="2:7" x14ac:dyDescent="0.2">
      <c r="B51">
        <v>4</v>
      </c>
      <c r="C51" t="s">
        <v>4</v>
      </c>
      <c r="D51">
        <v>0.97389719233268301</v>
      </c>
      <c r="E51" t="s">
        <v>5</v>
      </c>
      <c r="F51">
        <v>2.67282783518393E-4</v>
      </c>
      <c r="G51">
        <v>0.65035803580381601</v>
      </c>
    </row>
    <row r="52" spans="2:7" x14ac:dyDescent="0.2">
      <c r="B52">
        <v>4</v>
      </c>
      <c r="C52" t="s">
        <v>4</v>
      </c>
      <c r="D52">
        <v>0.97389719233268301</v>
      </c>
      <c r="E52" t="s">
        <v>6</v>
      </c>
      <c r="F52">
        <v>-2.0297890393603399E-2</v>
      </c>
      <c r="G52">
        <v>-49.529528598195398</v>
      </c>
    </row>
    <row r="53" spans="2:7" x14ac:dyDescent="0.2">
      <c r="B53">
        <v>4</v>
      </c>
      <c r="C53" t="s">
        <v>4</v>
      </c>
      <c r="D53">
        <v>0.97389719233268301</v>
      </c>
      <c r="E53" t="s">
        <v>7</v>
      </c>
      <c r="F53">
        <v>6.20994300226093E-3</v>
      </c>
      <c r="G53">
        <v>14.587671856976201</v>
      </c>
    </row>
    <row r="54" spans="2:7" x14ac:dyDescent="0.2">
      <c r="B54">
        <v>4</v>
      </c>
      <c r="C54" s="1" t="s">
        <v>4</v>
      </c>
      <c r="D54">
        <v>0.97389719233268301</v>
      </c>
      <c r="E54" t="s">
        <v>8</v>
      </c>
      <c r="F54">
        <v>-7.2583977617283798E-3</v>
      </c>
      <c r="G54">
        <v>-5.4413951873801896</v>
      </c>
    </row>
    <row r="55" spans="2:7" x14ac:dyDescent="0.2">
      <c r="B55">
        <v>4</v>
      </c>
      <c r="C55" t="s">
        <v>4</v>
      </c>
      <c r="D55">
        <v>0.97389719233268301</v>
      </c>
      <c r="E55" t="s">
        <v>9</v>
      </c>
      <c r="F55">
        <v>8.7164586160459805E-5</v>
      </c>
      <c r="G55">
        <v>0.21147479420654999</v>
      </c>
    </row>
    <row r="56" spans="2:7" x14ac:dyDescent="0.2">
      <c r="B56">
        <v>4</v>
      </c>
      <c r="C56" t="s">
        <v>4</v>
      </c>
      <c r="D56">
        <v>0.97389719233268301</v>
      </c>
      <c r="E56" t="s">
        <v>10</v>
      </c>
      <c r="F56">
        <v>-4.1448961386852702E-3</v>
      </c>
      <c r="G56">
        <v>-1.99623967160913</v>
      </c>
    </row>
    <row r="57" spans="2:7" x14ac:dyDescent="0.2">
      <c r="B57">
        <v>4</v>
      </c>
      <c r="C57" t="s">
        <v>4</v>
      </c>
      <c r="D57">
        <v>0.97389719233268301</v>
      </c>
      <c r="E57" t="s">
        <v>11</v>
      </c>
      <c r="F57">
        <v>5.8654116239565601E-3</v>
      </c>
      <c r="G57">
        <v>21.4529243974835</v>
      </c>
    </row>
    <row r="58" spans="2:7" x14ac:dyDescent="0.2">
      <c r="B58">
        <v>4</v>
      </c>
      <c r="C58" t="s">
        <v>4</v>
      </c>
      <c r="D58">
        <v>0.97389719233268301</v>
      </c>
      <c r="E58" t="s">
        <v>12</v>
      </c>
      <c r="F58">
        <v>-3.53412319403444E-2</v>
      </c>
      <c r="G58">
        <v>-8.4858803036015402</v>
      </c>
    </row>
    <row r="59" spans="2:7" x14ac:dyDescent="0.2">
      <c r="B59">
        <v>4</v>
      </c>
      <c r="C59" t="s">
        <v>4</v>
      </c>
      <c r="D59">
        <v>0.97389719233268301</v>
      </c>
      <c r="E59" t="s">
        <v>13</v>
      </c>
      <c r="F59">
        <v>-3.1089415753226099E-3</v>
      </c>
      <c r="G59">
        <v>-3.7633219871190202</v>
      </c>
    </row>
    <row r="60" spans="2:7" x14ac:dyDescent="0.2">
      <c r="B60">
        <v>4</v>
      </c>
      <c r="C60" t="s">
        <v>4</v>
      </c>
      <c r="D60">
        <v>0.97389719233268301</v>
      </c>
      <c r="E60" t="s">
        <v>14</v>
      </c>
      <c r="F60">
        <v>-8.2355779796204902E-4</v>
      </c>
    </row>
    <row r="61" spans="2:7" x14ac:dyDescent="0.2">
      <c r="B61">
        <v>4</v>
      </c>
      <c r="C61" s="1" t="s">
        <v>4</v>
      </c>
      <c r="D61">
        <v>0.97389719233268301</v>
      </c>
      <c r="E61" t="s">
        <v>15</v>
      </c>
      <c r="F61">
        <v>8.2355779796210399E-4</v>
      </c>
    </row>
    <row r="62" spans="2:7" x14ac:dyDescent="0.2">
      <c r="B62">
        <v>4</v>
      </c>
      <c r="C62" t="s">
        <v>4</v>
      </c>
      <c r="D62">
        <v>0.97389719233268301</v>
      </c>
      <c r="E62" t="s">
        <v>16</v>
      </c>
      <c r="F62">
        <v>-1.00434898734549E-3</v>
      </c>
    </row>
    <row r="63" spans="2:7" x14ac:dyDescent="0.2">
      <c r="B63">
        <v>4</v>
      </c>
      <c r="C63" t="s">
        <v>4</v>
      </c>
      <c r="D63">
        <v>0.97389719233268301</v>
      </c>
      <c r="E63" t="s">
        <v>17</v>
      </c>
      <c r="F63">
        <v>6.2405001088926303E-4</v>
      </c>
    </row>
    <row r="64" spans="2:7" x14ac:dyDescent="0.2">
      <c r="B64">
        <v>4</v>
      </c>
      <c r="C64" t="s">
        <v>4</v>
      </c>
      <c r="D64">
        <v>0.97389719233268301</v>
      </c>
      <c r="E64" t="s">
        <v>18</v>
      </c>
      <c r="F64">
        <v>3.8029897645609501E-4</v>
      </c>
    </row>
    <row r="65" spans="2:7" x14ac:dyDescent="0.2">
      <c r="B65">
        <v>4</v>
      </c>
      <c r="C65" t="s">
        <v>4</v>
      </c>
      <c r="D65">
        <v>0.97389719233268301</v>
      </c>
      <c r="E65" t="s">
        <v>47</v>
      </c>
      <c r="F65">
        <v>0.84031249121326101</v>
      </c>
    </row>
    <row r="66" spans="2:7" x14ac:dyDescent="0.2">
      <c r="B66">
        <v>5</v>
      </c>
      <c r="C66" t="s">
        <v>27</v>
      </c>
      <c r="D66">
        <v>0.74342025656450705</v>
      </c>
      <c r="E66" t="s">
        <v>3</v>
      </c>
      <c r="F66">
        <v>1.17938898020375</v>
      </c>
      <c r="G66">
        <v>5.1161124093628301</v>
      </c>
    </row>
    <row r="67" spans="2:7" x14ac:dyDescent="0.2">
      <c r="B67">
        <v>5</v>
      </c>
      <c r="C67" t="s">
        <v>27</v>
      </c>
      <c r="D67">
        <v>0.74342025656450705</v>
      </c>
      <c r="E67" t="s">
        <v>5</v>
      </c>
      <c r="F67">
        <v>-0.26792849590635498</v>
      </c>
      <c r="G67">
        <v>-1.1795674355822401</v>
      </c>
    </row>
    <row r="68" spans="2:7" x14ac:dyDescent="0.2">
      <c r="B68">
        <v>5</v>
      </c>
      <c r="C68" t="s">
        <v>27</v>
      </c>
      <c r="D68">
        <v>0.74342025656450705</v>
      </c>
      <c r="E68" t="s">
        <v>6</v>
      </c>
      <c r="F68">
        <v>-3.1752109154055201</v>
      </c>
      <c r="G68">
        <v>-14.0187152213592</v>
      </c>
    </row>
    <row r="69" spans="2:7" x14ac:dyDescent="0.2">
      <c r="B69">
        <v>5</v>
      </c>
      <c r="C69" t="s">
        <v>27</v>
      </c>
      <c r="D69">
        <v>0.74342025656450705</v>
      </c>
      <c r="E69" t="s">
        <v>7</v>
      </c>
      <c r="F69">
        <v>0.87914628495860803</v>
      </c>
      <c r="G69">
        <v>3.7366451731305599</v>
      </c>
    </row>
    <row r="70" spans="2:7" x14ac:dyDescent="0.2">
      <c r="B70">
        <v>5</v>
      </c>
      <c r="C70" t="s">
        <v>27</v>
      </c>
      <c r="D70">
        <v>0.74342025656450705</v>
      </c>
      <c r="E70" t="s">
        <v>8</v>
      </c>
      <c r="F70">
        <v>-3.45181544851454</v>
      </c>
      <c r="G70">
        <v>-4.6820863116307097</v>
      </c>
    </row>
    <row r="71" spans="2:7" x14ac:dyDescent="0.2">
      <c r="B71">
        <v>5</v>
      </c>
      <c r="C71" t="s">
        <v>27</v>
      </c>
      <c r="D71">
        <v>0.74342025656450705</v>
      </c>
      <c r="E71" t="s">
        <v>9</v>
      </c>
      <c r="F71">
        <v>-9.3893321137690803E-4</v>
      </c>
      <c r="G71">
        <v>-4.1216924476357901E-3</v>
      </c>
    </row>
    <row r="72" spans="2:7" x14ac:dyDescent="0.2">
      <c r="B72">
        <v>5</v>
      </c>
      <c r="C72" t="s">
        <v>27</v>
      </c>
      <c r="D72">
        <v>0.74342025656450705</v>
      </c>
      <c r="E72" t="s">
        <v>10</v>
      </c>
      <c r="F72">
        <v>2.8651869867183799</v>
      </c>
      <c r="G72">
        <v>2.49674588403099</v>
      </c>
    </row>
    <row r="73" spans="2:7" x14ac:dyDescent="0.2">
      <c r="B73">
        <v>5</v>
      </c>
      <c r="C73" t="s">
        <v>27</v>
      </c>
      <c r="D73">
        <v>0.74342025656450705</v>
      </c>
      <c r="E73" t="s">
        <v>11</v>
      </c>
      <c r="F73">
        <v>3.4709452093629599E-2</v>
      </c>
      <c r="G73">
        <v>0.22969847295781301</v>
      </c>
    </row>
    <row r="74" spans="2:7" x14ac:dyDescent="0.2">
      <c r="B74">
        <v>5</v>
      </c>
      <c r="C74" t="s">
        <v>27</v>
      </c>
      <c r="D74">
        <v>0.74342025656450705</v>
      </c>
      <c r="E74" t="s">
        <v>12</v>
      </c>
      <c r="F74">
        <v>-6.84407446240008</v>
      </c>
      <c r="G74">
        <v>-2.97339280625207</v>
      </c>
    </row>
    <row r="75" spans="2:7" x14ac:dyDescent="0.2">
      <c r="B75">
        <v>5</v>
      </c>
      <c r="C75" t="s">
        <v>27</v>
      </c>
      <c r="D75">
        <v>0.74342025656450705</v>
      </c>
      <c r="E75" t="s">
        <v>13</v>
      </c>
      <c r="F75">
        <v>-0.11925110596576501</v>
      </c>
      <c r="G75">
        <v>-0.26118220002478398</v>
      </c>
    </row>
    <row r="76" spans="2:7" x14ac:dyDescent="0.2">
      <c r="B76">
        <v>5</v>
      </c>
      <c r="C76" t="s">
        <v>27</v>
      </c>
      <c r="D76">
        <v>0.74342025656450705</v>
      </c>
      <c r="E76" t="s">
        <v>14</v>
      </c>
      <c r="F76">
        <v>-1.5721995534286801E-2</v>
      </c>
    </row>
    <row r="77" spans="2:7" x14ac:dyDescent="0.2">
      <c r="B77">
        <v>5</v>
      </c>
      <c r="C77" t="s">
        <v>27</v>
      </c>
      <c r="D77">
        <v>0.74342025656450705</v>
      </c>
      <c r="E77" t="s">
        <v>15</v>
      </c>
      <c r="F77">
        <v>1.57219955343012E-2</v>
      </c>
    </row>
    <row r="78" spans="2:7" x14ac:dyDescent="0.2">
      <c r="B78">
        <v>5</v>
      </c>
      <c r="C78" t="s">
        <v>27</v>
      </c>
      <c r="D78">
        <v>0.74342025656450705</v>
      </c>
      <c r="E78" t="s">
        <v>16</v>
      </c>
      <c r="F78">
        <v>-7.8657667679043294E-2</v>
      </c>
    </row>
    <row r="79" spans="2:7" x14ac:dyDescent="0.2">
      <c r="B79">
        <v>5</v>
      </c>
      <c r="C79" t="s">
        <v>27</v>
      </c>
      <c r="D79">
        <v>0.74342025656450705</v>
      </c>
      <c r="E79" t="s">
        <v>17</v>
      </c>
      <c r="F79">
        <v>0.14084355280974201</v>
      </c>
    </row>
    <row r="80" spans="2:7" x14ac:dyDescent="0.2">
      <c r="B80">
        <v>5</v>
      </c>
      <c r="C80" t="s">
        <v>27</v>
      </c>
      <c r="D80">
        <v>0.74342025656450705</v>
      </c>
      <c r="E80" t="s">
        <v>18</v>
      </c>
      <c r="F80">
        <v>-6.2185885130731401E-2</v>
      </c>
    </row>
    <row r="81" spans="2:7" x14ac:dyDescent="0.2">
      <c r="B81">
        <v>5</v>
      </c>
      <c r="C81" t="s">
        <v>27</v>
      </c>
      <c r="D81">
        <v>0.74342025656450705</v>
      </c>
      <c r="E81" t="s">
        <v>47</v>
      </c>
      <c r="F81">
        <v>22.699229133654399</v>
      </c>
    </row>
    <row r="82" spans="2:7" x14ac:dyDescent="0.2">
      <c r="B82">
        <v>6</v>
      </c>
      <c r="C82" t="s">
        <v>28</v>
      </c>
      <c r="D82">
        <v>0.84220045820687806</v>
      </c>
      <c r="E82" t="s">
        <v>3</v>
      </c>
      <c r="F82">
        <v>0.36319462519370599</v>
      </c>
      <c r="G82">
        <v>0.63368206876406397</v>
      </c>
    </row>
    <row r="83" spans="2:7" x14ac:dyDescent="0.2">
      <c r="B83">
        <v>6</v>
      </c>
      <c r="C83" t="s">
        <v>28</v>
      </c>
      <c r="D83">
        <v>0.84220045820687806</v>
      </c>
      <c r="E83" t="s">
        <v>5</v>
      </c>
      <c r="F83">
        <v>0.59223797258974498</v>
      </c>
      <c r="G83">
        <v>1.0486947908247</v>
      </c>
    </row>
    <row r="84" spans="2:7" x14ac:dyDescent="0.2">
      <c r="B84">
        <v>6</v>
      </c>
      <c r="C84" t="s">
        <v>28</v>
      </c>
      <c r="D84">
        <v>0.84220045820687806</v>
      </c>
      <c r="E84" t="s">
        <v>6</v>
      </c>
      <c r="F84">
        <v>-8.0952936183877906</v>
      </c>
      <c r="G84">
        <v>-14.3753104554508</v>
      </c>
    </row>
    <row r="85" spans="2:7" x14ac:dyDescent="0.2">
      <c r="B85">
        <v>6</v>
      </c>
      <c r="C85" t="s">
        <v>28</v>
      </c>
      <c r="D85">
        <v>0.84220045820687806</v>
      </c>
      <c r="E85" t="s">
        <v>7</v>
      </c>
      <c r="F85">
        <v>0.39288928280087598</v>
      </c>
      <c r="G85">
        <v>0.67164516014095799</v>
      </c>
    </row>
    <row r="86" spans="2:7" x14ac:dyDescent="0.2">
      <c r="B86">
        <v>6</v>
      </c>
      <c r="C86" t="s">
        <v>28</v>
      </c>
      <c r="D86">
        <v>0.84220045820687806</v>
      </c>
      <c r="E86" t="s">
        <v>8</v>
      </c>
      <c r="F86">
        <v>-3.0659649601030901</v>
      </c>
      <c r="G86">
        <v>-1.6726613705483799</v>
      </c>
    </row>
    <row r="87" spans="2:7" x14ac:dyDescent="0.2">
      <c r="B87">
        <v>6</v>
      </c>
      <c r="C87" t="s">
        <v>28</v>
      </c>
      <c r="D87">
        <v>0.84220045820687806</v>
      </c>
      <c r="E87" t="s">
        <v>9</v>
      </c>
      <c r="F87">
        <v>-0.74061390267988103</v>
      </c>
      <c r="G87">
        <v>-1.3076205421434199</v>
      </c>
    </row>
    <row r="88" spans="2:7" x14ac:dyDescent="0.2">
      <c r="B88">
        <v>6</v>
      </c>
      <c r="C88" t="s">
        <v>28</v>
      </c>
      <c r="D88">
        <v>0.84220045820687806</v>
      </c>
      <c r="E88" t="s">
        <v>10</v>
      </c>
      <c r="F88">
        <v>6.8413866105819903</v>
      </c>
      <c r="G88">
        <v>2.3978085180098301</v>
      </c>
    </row>
    <row r="89" spans="2:7" x14ac:dyDescent="0.2">
      <c r="B89">
        <v>6</v>
      </c>
      <c r="C89" t="s">
        <v>28</v>
      </c>
      <c r="D89">
        <v>0.84220045820687806</v>
      </c>
      <c r="E89" t="s">
        <v>11</v>
      </c>
      <c r="F89">
        <v>4.2119220344859603</v>
      </c>
      <c r="G89">
        <v>11.2108790213208</v>
      </c>
    </row>
    <row r="90" spans="2:7" x14ac:dyDescent="0.2">
      <c r="B90">
        <v>6</v>
      </c>
      <c r="C90" t="s">
        <v>28</v>
      </c>
      <c r="D90">
        <v>0.84220045820687806</v>
      </c>
      <c r="E90" t="s">
        <v>12</v>
      </c>
      <c r="F90">
        <v>-16.685379772282001</v>
      </c>
      <c r="G90">
        <v>-2.91556446982892</v>
      </c>
    </row>
    <row r="91" spans="2:7" x14ac:dyDescent="0.2">
      <c r="B91">
        <v>6</v>
      </c>
      <c r="C91" t="s">
        <v>28</v>
      </c>
      <c r="D91">
        <v>0.84220045820687806</v>
      </c>
      <c r="E91" t="s">
        <v>13</v>
      </c>
      <c r="F91">
        <v>-0.78691260716156797</v>
      </c>
      <c r="G91">
        <v>-0.69319697074860398</v>
      </c>
    </row>
    <row r="92" spans="2:7" x14ac:dyDescent="0.2">
      <c r="B92">
        <v>6</v>
      </c>
      <c r="C92" t="s">
        <v>28</v>
      </c>
      <c r="D92">
        <v>0.84220045820687806</v>
      </c>
      <c r="E92" t="s">
        <v>14</v>
      </c>
      <c r="F92">
        <v>1.3488103041648101</v>
      </c>
    </row>
    <row r="93" spans="2:7" x14ac:dyDescent="0.2">
      <c r="B93">
        <v>6</v>
      </c>
      <c r="C93" t="s">
        <v>28</v>
      </c>
      <c r="D93">
        <v>0.84220045820687806</v>
      </c>
      <c r="E93" t="s">
        <v>15</v>
      </c>
      <c r="F93">
        <v>-1.3488103041647801</v>
      </c>
    </row>
    <row r="94" spans="2:7" x14ac:dyDescent="0.2">
      <c r="B94">
        <v>6</v>
      </c>
      <c r="C94" t="s">
        <v>28</v>
      </c>
      <c r="D94">
        <v>0.84220045820687806</v>
      </c>
      <c r="E94" t="s">
        <v>16</v>
      </c>
      <c r="F94">
        <v>1.77540494710023</v>
      </c>
    </row>
    <row r="95" spans="2:7" x14ac:dyDescent="0.2">
      <c r="B95">
        <v>6</v>
      </c>
      <c r="C95" t="s">
        <v>28</v>
      </c>
      <c r="D95">
        <v>0.84220045820687806</v>
      </c>
      <c r="E95" t="s">
        <v>17</v>
      </c>
      <c r="F95">
        <v>-1.2119143870465301</v>
      </c>
    </row>
    <row r="96" spans="2:7" x14ac:dyDescent="0.2">
      <c r="B96">
        <v>6</v>
      </c>
      <c r="C96" t="s">
        <v>28</v>
      </c>
      <c r="D96">
        <v>0.84220045820687806</v>
      </c>
      <c r="E96" t="s">
        <v>18</v>
      </c>
      <c r="F96">
        <v>-0.56349056005377696</v>
      </c>
    </row>
    <row r="97" spans="2:7" x14ac:dyDescent="0.2">
      <c r="B97">
        <v>6</v>
      </c>
      <c r="C97" t="s">
        <v>28</v>
      </c>
      <c r="D97">
        <v>0.84220045820687806</v>
      </c>
      <c r="E97" t="s">
        <v>47</v>
      </c>
      <c r="F97">
        <v>62.754626126860202</v>
      </c>
    </row>
    <row r="98" spans="2:7" x14ac:dyDescent="0.2">
      <c r="B98">
        <v>7</v>
      </c>
      <c r="C98" t="s">
        <v>29</v>
      </c>
      <c r="D98">
        <v>0.884548583434838</v>
      </c>
      <c r="E98" t="s">
        <v>3</v>
      </c>
      <c r="F98">
        <v>-0.62813694559515498</v>
      </c>
      <c r="G98">
        <v>-1.3693029461177699</v>
      </c>
    </row>
    <row r="99" spans="2:7" x14ac:dyDescent="0.2">
      <c r="B99">
        <v>7</v>
      </c>
      <c r="C99" t="s">
        <v>29</v>
      </c>
      <c r="D99">
        <v>0.884548583434838</v>
      </c>
      <c r="E99" t="s">
        <v>5</v>
      </c>
      <c r="F99">
        <v>-0.38328511220159101</v>
      </c>
      <c r="G99">
        <v>-0.84798468840830499</v>
      </c>
    </row>
    <row r="100" spans="2:7" x14ac:dyDescent="0.2">
      <c r="B100">
        <v>7</v>
      </c>
      <c r="C100" t="s">
        <v>29</v>
      </c>
      <c r="D100">
        <v>0.884548583434838</v>
      </c>
      <c r="E100" t="s">
        <v>6</v>
      </c>
      <c r="F100">
        <v>-4.5218811022850298</v>
      </c>
      <c r="G100">
        <v>-10.0326801126051</v>
      </c>
    </row>
    <row r="101" spans="2:7" x14ac:dyDescent="0.2">
      <c r="B101">
        <v>7</v>
      </c>
      <c r="C101" t="s">
        <v>29</v>
      </c>
      <c r="D101">
        <v>0.884548583434838</v>
      </c>
      <c r="E101" t="s">
        <v>7</v>
      </c>
      <c r="F101">
        <v>-0.21563277640530201</v>
      </c>
      <c r="G101">
        <v>-0.46057215804892698</v>
      </c>
    </row>
    <row r="102" spans="2:7" x14ac:dyDescent="0.2">
      <c r="B102">
        <v>7</v>
      </c>
      <c r="C102" t="s">
        <v>29</v>
      </c>
      <c r="D102">
        <v>0.884548583434838</v>
      </c>
      <c r="E102" t="s">
        <v>8</v>
      </c>
      <c r="F102">
        <v>-3.6744835050717701</v>
      </c>
      <c r="G102">
        <v>-2.5046690032315402</v>
      </c>
    </row>
    <row r="103" spans="2:7" x14ac:dyDescent="0.2">
      <c r="B103">
        <v>7</v>
      </c>
      <c r="C103" t="s">
        <v>29</v>
      </c>
      <c r="D103">
        <v>0.884548583434838</v>
      </c>
      <c r="E103" t="s">
        <v>9</v>
      </c>
      <c r="F103">
        <v>-0.529673579348102</v>
      </c>
      <c r="G103">
        <v>-1.1684533650661399</v>
      </c>
    </row>
    <row r="104" spans="2:7" x14ac:dyDescent="0.2">
      <c r="B104">
        <v>7</v>
      </c>
      <c r="C104" t="s">
        <v>29</v>
      </c>
      <c r="D104">
        <v>0.884548583434838</v>
      </c>
      <c r="E104" t="s">
        <v>10</v>
      </c>
      <c r="F104">
        <v>3.7353494261984901</v>
      </c>
      <c r="G104">
        <v>1.63574197670178</v>
      </c>
    </row>
    <row r="105" spans="2:7" x14ac:dyDescent="0.2">
      <c r="B105">
        <v>7</v>
      </c>
      <c r="C105" t="s">
        <v>29</v>
      </c>
      <c r="D105">
        <v>0.884548583434838</v>
      </c>
      <c r="E105" t="s">
        <v>11</v>
      </c>
      <c r="F105">
        <v>6.0695094688657996</v>
      </c>
      <c r="G105">
        <v>20.1848782780127</v>
      </c>
    </row>
    <row r="106" spans="2:7" x14ac:dyDescent="0.2">
      <c r="B106">
        <v>7</v>
      </c>
      <c r="C106" t="s">
        <v>29</v>
      </c>
      <c r="D106">
        <v>0.884548583434838</v>
      </c>
      <c r="E106" t="s">
        <v>12</v>
      </c>
      <c r="F106">
        <v>-8.1116776724219104</v>
      </c>
      <c r="G106">
        <v>-1.7709668717012499</v>
      </c>
    </row>
    <row r="107" spans="2:7" x14ac:dyDescent="0.2">
      <c r="B107">
        <v>7</v>
      </c>
      <c r="C107" t="s">
        <v>29</v>
      </c>
      <c r="D107">
        <v>0.884548583434838</v>
      </c>
      <c r="E107" t="s">
        <v>13</v>
      </c>
      <c r="F107">
        <v>-0.232751249109931</v>
      </c>
      <c r="G107">
        <v>-0.256174190394312</v>
      </c>
    </row>
    <row r="108" spans="2:7" x14ac:dyDescent="0.2">
      <c r="B108">
        <v>7</v>
      </c>
      <c r="C108" t="s">
        <v>29</v>
      </c>
      <c r="D108">
        <v>0.884548583434838</v>
      </c>
      <c r="E108" t="s">
        <v>14</v>
      </c>
      <c r="F108">
        <v>1.1995913469414801</v>
      </c>
    </row>
    <row r="109" spans="2:7" x14ac:dyDescent="0.2">
      <c r="B109">
        <v>7</v>
      </c>
      <c r="C109" t="s">
        <v>29</v>
      </c>
      <c r="D109">
        <v>0.884548583434838</v>
      </c>
      <c r="E109" t="s">
        <v>15</v>
      </c>
      <c r="F109">
        <v>-1.1995913469414701</v>
      </c>
    </row>
    <row r="110" spans="2:7" x14ac:dyDescent="0.2">
      <c r="B110">
        <v>7</v>
      </c>
      <c r="C110" t="s">
        <v>29</v>
      </c>
      <c r="D110">
        <v>0.884548583434838</v>
      </c>
      <c r="E110" t="s">
        <v>16</v>
      </c>
      <c r="F110">
        <v>1.3007766478743801</v>
      </c>
    </row>
    <row r="111" spans="2:7" x14ac:dyDescent="0.2">
      <c r="B111">
        <v>7</v>
      </c>
      <c r="C111" t="s">
        <v>29</v>
      </c>
      <c r="D111">
        <v>0.884548583434838</v>
      </c>
      <c r="E111" t="s">
        <v>17</v>
      </c>
      <c r="F111">
        <v>-0.83604074962429598</v>
      </c>
    </row>
    <row r="112" spans="2:7" x14ac:dyDescent="0.2">
      <c r="B112">
        <v>7</v>
      </c>
      <c r="C112" t="s">
        <v>29</v>
      </c>
      <c r="D112">
        <v>0.884548583434838</v>
      </c>
      <c r="E112" t="s">
        <v>18</v>
      </c>
      <c r="F112">
        <v>-0.46473589825012401</v>
      </c>
    </row>
    <row r="113" spans="2:7" x14ac:dyDescent="0.2">
      <c r="B113">
        <v>7</v>
      </c>
      <c r="C113" t="s">
        <v>29</v>
      </c>
      <c r="D113">
        <v>0.884548583434838</v>
      </c>
      <c r="E113" t="s">
        <v>47</v>
      </c>
      <c r="F113">
        <v>44.7963194763093</v>
      </c>
    </row>
    <row r="114" spans="2:7" x14ac:dyDescent="0.2">
      <c r="B114">
        <v>8</v>
      </c>
      <c r="C114" t="s">
        <v>19</v>
      </c>
      <c r="D114">
        <v>0.96253449777918298</v>
      </c>
      <c r="E114" t="s">
        <v>3</v>
      </c>
      <c r="F114">
        <v>-1.1944815155331199E-3</v>
      </c>
      <c r="G114">
        <v>-11.8189853949478</v>
      </c>
    </row>
    <row r="115" spans="2:7" x14ac:dyDescent="0.2">
      <c r="B115">
        <v>8</v>
      </c>
      <c r="C115" t="s">
        <v>19</v>
      </c>
      <c r="D115">
        <v>0.96253449777918298</v>
      </c>
      <c r="E115" t="s">
        <v>5</v>
      </c>
      <c r="F115">
        <v>1.5548126475130699E-4</v>
      </c>
      <c r="G115">
        <v>1.5613478986326901</v>
      </c>
    </row>
    <row r="116" spans="2:7" x14ac:dyDescent="0.2">
      <c r="B116">
        <v>8</v>
      </c>
      <c r="C116" t="s">
        <v>19</v>
      </c>
      <c r="D116">
        <v>0.96253449777918298</v>
      </c>
      <c r="E116" t="s">
        <v>6</v>
      </c>
      <c r="F116">
        <v>4.6876199045792098E-3</v>
      </c>
      <c r="G116">
        <v>47.206931778103602</v>
      </c>
    </row>
    <row r="117" spans="2:7" x14ac:dyDescent="0.2">
      <c r="B117">
        <v>8</v>
      </c>
      <c r="C117" t="s">
        <v>19</v>
      </c>
      <c r="D117">
        <v>0.96253449777918298</v>
      </c>
      <c r="E117" t="s">
        <v>7</v>
      </c>
      <c r="F117">
        <v>-9.0826750525353599E-4</v>
      </c>
      <c r="G117">
        <v>-8.8054639100002099</v>
      </c>
    </row>
    <row r="118" spans="2:7" x14ac:dyDescent="0.2">
      <c r="B118">
        <v>8</v>
      </c>
      <c r="C118" t="s">
        <v>19</v>
      </c>
      <c r="D118">
        <v>0.96253449777918298</v>
      </c>
      <c r="E118" t="s">
        <v>8</v>
      </c>
      <c r="F118">
        <v>1.60007474412961E-4</v>
      </c>
      <c r="G118">
        <v>0.49505091505271598</v>
      </c>
    </row>
    <row r="119" spans="2:7" x14ac:dyDescent="0.2">
      <c r="B119">
        <v>8</v>
      </c>
      <c r="C119" t="s">
        <v>19</v>
      </c>
      <c r="D119">
        <v>0.96253449777918298</v>
      </c>
      <c r="E119" t="s">
        <v>9</v>
      </c>
      <c r="F119">
        <v>-1.33583859160196E-4</v>
      </c>
      <c r="G119">
        <v>-1.33755798188932</v>
      </c>
    </row>
    <row r="120" spans="2:7" x14ac:dyDescent="0.2">
      <c r="B120">
        <v>8</v>
      </c>
      <c r="C120" t="s">
        <v>19</v>
      </c>
      <c r="D120">
        <v>0.96253449777918298</v>
      </c>
      <c r="E120" t="s">
        <v>10</v>
      </c>
      <c r="F120">
        <v>-7.9683533212245798E-4</v>
      </c>
      <c r="G120">
        <v>-1.58382686528844</v>
      </c>
    </row>
    <row r="121" spans="2:7" x14ac:dyDescent="0.2">
      <c r="B121">
        <v>8</v>
      </c>
      <c r="C121" t="s">
        <v>19</v>
      </c>
      <c r="D121">
        <v>0.96253449777918298</v>
      </c>
      <c r="E121" t="s">
        <v>11</v>
      </c>
      <c r="F121">
        <v>1.11813460455446E-4</v>
      </c>
      <c r="G121">
        <v>1.68780468576719</v>
      </c>
    </row>
    <row r="122" spans="2:7" x14ac:dyDescent="0.2">
      <c r="B122">
        <v>8</v>
      </c>
      <c r="C122" t="s">
        <v>19</v>
      </c>
      <c r="D122">
        <v>0.96253449777918298</v>
      </c>
      <c r="E122" t="s">
        <v>12</v>
      </c>
      <c r="F122">
        <v>6.3396339103958801E-3</v>
      </c>
      <c r="G122">
        <v>6.2823118424475304</v>
      </c>
    </row>
    <row r="123" spans="2:7" x14ac:dyDescent="0.2">
      <c r="B123">
        <v>8</v>
      </c>
      <c r="C123" t="s">
        <v>19</v>
      </c>
      <c r="D123">
        <v>0.96253449777918298</v>
      </c>
      <c r="E123" t="s">
        <v>13</v>
      </c>
      <c r="F123">
        <v>-3.3482142197391302E-4</v>
      </c>
      <c r="G123">
        <v>-1.6726772370529599</v>
      </c>
    </row>
    <row r="124" spans="2:7" x14ac:dyDescent="0.2">
      <c r="B124">
        <v>8</v>
      </c>
      <c r="C124" t="s">
        <v>19</v>
      </c>
      <c r="D124">
        <v>0.96253449777918298</v>
      </c>
      <c r="E124" t="s">
        <v>14</v>
      </c>
      <c r="F124">
        <v>4.5567060572143597E-6</v>
      </c>
    </row>
    <row r="125" spans="2:7" x14ac:dyDescent="0.2">
      <c r="B125">
        <v>8</v>
      </c>
      <c r="C125" t="s">
        <v>19</v>
      </c>
      <c r="D125">
        <v>0.96253449777918298</v>
      </c>
      <c r="E125" t="s">
        <v>15</v>
      </c>
      <c r="F125">
        <v>-4.5567060572228198E-6</v>
      </c>
    </row>
    <row r="126" spans="2:7" x14ac:dyDescent="0.2">
      <c r="B126">
        <v>8</v>
      </c>
      <c r="C126" t="s">
        <v>19</v>
      </c>
      <c r="D126">
        <v>0.96253449777918298</v>
      </c>
      <c r="E126" t="s">
        <v>16</v>
      </c>
      <c r="F126">
        <v>-4.62607112932478E-5</v>
      </c>
    </row>
    <row r="127" spans="2:7" x14ac:dyDescent="0.2">
      <c r="B127">
        <v>8</v>
      </c>
      <c r="C127" t="s">
        <v>19</v>
      </c>
      <c r="D127">
        <v>0.96253449777918298</v>
      </c>
      <c r="E127" t="s">
        <v>17</v>
      </c>
      <c r="F127">
        <v>7.0943257416847297E-6</v>
      </c>
    </row>
    <row r="128" spans="2:7" x14ac:dyDescent="0.2">
      <c r="B128">
        <v>8</v>
      </c>
      <c r="C128" t="s">
        <v>19</v>
      </c>
      <c r="D128">
        <v>0.96253449777918298</v>
      </c>
      <c r="E128" t="s">
        <v>18</v>
      </c>
      <c r="F128">
        <v>3.9166385551588998E-5</v>
      </c>
    </row>
    <row r="129" spans="2:7" x14ac:dyDescent="0.2">
      <c r="B129">
        <v>8</v>
      </c>
      <c r="C129" t="s">
        <v>19</v>
      </c>
      <c r="D129">
        <v>0.96253449777918298</v>
      </c>
      <c r="E129" t="s">
        <v>47</v>
      </c>
      <c r="F129">
        <v>1.52502809486497E-2</v>
      </c>
    </row>
    <row r="130" spans="2:7" x14ac:dyDescent="0.2">
      <c r="B130">
        <v>9</v>
      </c>
      <c r="C130" t="s">
        <v>48</v>
      </c>
      <c r="D130">
        <v>0.87829888452593097</v>
      </c>
      <c r="E130" t="s">
        <v>3</v>
      </c>
      <c r="F130">
        <v>1133630364.84429</v>
      </c>
      <c r="G130">
        <v>8.5972554003199502</v>
      </c>
    </row>
    <row r="131" spans="2:7" x14ac:dyDescent="0.2">
      <c r="B131">
        <v>9</v>
      </c>
      <c r="C131" t="s">
        <v>48</v>
      </c>
      <c r="D131">
        <v>0.87829888452593097</v>
      </c>
      <c r="E131" t="s">
        <v>5</v>
      </c>
      <c r="F131">
        <v>102283017.832853</v>
      </c>
      <c r="G131">
        <v>0.78725014187900999</v>
      </c>
    </row>
    <row r="132" spans="2:7" x14ac:dyDescent="0.2">
      <c r="B132">
        <v>9</v>
      </c>
      <c r="C132" t="s">
        <v>48</v>
      </c>
      <c r="D132">
        <v>0.87829888452593097</v>
      </c>
      <c r="E132" t="s">
        <v>6</v>
      </c>
      <c r="F132">
        <v>585933527.29111099</v>
      </c>
      <c r="G132">
        <v>4.5226119894063102</v>
      </c>
    </row>
    <row r="133" spans="2:7" x14ac:dyDescent="0.2">
      <c r="B133">
        <v>9</v>
      </c>
      <c r="C133" t="s">
        <v>48</v>
      </c>
      <c r="D133">
        <v>0.87829888452593097</v>
      </c>
      <c r="E133" t="s">
        <v>7</v>
      </c>
      <c r="F133">
        <v>-3160781743.83533</v>
      </c>
      <c r="G133">
        <v>-23.486622569890699</v>
      </c>
    </row>
    <row r="134" spans="2:7" x14ac:dyDescent="0.2">
      <c r="B134">
        <v>9</v>
      </c>
      <c r="C134" t="s">
        <v>48</v>
      </c>
      <c r="D134">
        <v>0.87829888452593097</v>
      </c>
      <c r="E134" t="s">
        <v>8</v>
      </c>
      <c r="F134">
        <v>-1244190382.904</v>
      </c>
      <c r="G134">
        <v>-2.9504212907276002</v>
      </c>
    </row>
    <row r="135" spans="2:7" x14ac:dyDescent="0.2">
      <c r="B135">
        <v>9</v>
      </c>
      <c r="C135" t="s">
        <v>48</v>
      </c>
      <c r="D135">
        <v>0.87829888452593097</v>
      </c>
      <c r="E135" t="s">
        <v>9</v>
      </c>
      <c r="F135">
        <v>482572655.03515297</v>
      </c>
      <c r="G135">
        <v>3.7034708991637002</v>
      </c>
    </row>
    <row r="136" spans="2:7" x14ac:dyDescent="0.2">
      <c r="B136">
        <v>9</v>
      </c>
      <c r="C136" t="s">
        <v>48</v>
      </c>
      <c r="D136">
        <v>0.87829888452593097</v>
      </c>
      <c r="E136" t="s">
        <v>10</v>
      </c>
      <c r="F136">
        <v>3173012579.8247099</v>
      </c>
      <c r="G136">
        <v>4.8339094679004297</v>
      </c>
    </row>
    <row r="137" spans="2:7" x14ac:dyDescent="0.2">
      <c r="B137">
        <v>9</v>
      </c>
      <c r="C137" t="s">
        <v>48</v>
      </c>
      <c r="D137">
        <v>0.87829888452593097</v>
      </c>
      <c r="E137" t="s">
        <v>11</v>
      </c>
      <c r="F137">
        <v>-78114882.457918301</v>
      </c>
      <c r="G137">
        <v>-0.90375243274018502</v>
      </c>
    </row>
    <row r="138" spans="2:7" x14ac:dyDescent="0.2">
      <c r="B138">
        <v>9</v>
      </c>
      <c r="C138" t="s">
        <v>48</v>
      </c>
      <c r="D138">
        <v>0.87829888452593097</v>
      </c>
      <c r="E138" t="s">
        <v>12</v>
      </c>
      <c r="F138">
        <v>-3230561970.0122299</v>
      </c>
      <c r="G138">
        <v>-2.4536972863772899</v>
      </c>
    </row>
    <row r="139" spans="2:7" x14ac:dyDescent="0.2">
      <c r="B139">
        <v>9</v>
      </c>
      <c r="C139" t="s">
        <v>48</v>
      </c>
      <c r="D139">
        <v>0.87829888452593097</v>
      </c>
      <c r="E139" t="s">
        <v>13</v>
      </c>
      <c r="F139">
        <v>153715672.26949599</v>
      </c>
      <c r="G139">
        <v>0.58857885387992503</v>
      </c>
    </row>
    <row r="140" spans="2:7" x14ac:dyDescent="0.2">
      <c r="B140">
        <v>9</v>
      </c>
      <c r="C140" t="s">
        <v>48</v>
      </c>
      <c r="D140">
        <v>0.87829888452593097</v>
      </c>
      <c r="E140" t="s">
        <v>14</v>
      </c>
      <c r="F140">
        <v>-27907866.281550899</v>
      </c>
    </row>
    <row r="141" spans="2:7" x14ac:dyDescent="0.2">
      <c r="B141">
        <v>9</v>
      </c>
      <c r="C141" t="s">
        <v>48</v>
      </c>
      <c r="D141">
        <v>0.87829888452593097</v>
      </c>
      <c r="E141" t="s">
        <v>15</v>
      </c>
      <c r="F141">
        <v>27907866.2815568</v>
      </c>
    </row>
    <row r="142" spans="2:7" x14ac:dyDescent="0.2">
      <c r="B142">
        <v>9</v>
      </c>
      <c r="C142" t="s">
        <v>48</v>
      </c>
      <c r="D142">
        <v>0.87829888452593097</v>
      </c>
      <c r="E142" t="s">
        <v>16</v>
      </c>
      <c r="F142">
        <v>79658978.976486593</v>
      </c>
    </row>
    <row r="143" spans="2:7" x14ac:dyDescent="0.2">
      <c r="B143">
        <v>9</v>
      </c>
      <c r="C143" t="s">
        <v>48</v>
      </c>
      <c r="D143">
        <v>0.87829888452593097</v>
      </c>
      <c r="E143" t="s">
        <v>17</v>
      </c>
      <c r="F143">
        <v>-40351828.330007598</v>
      </c>
    </row>
    <row r="144" spans="2:7" x14ac:dyDescent="0.2">
      <c r="B144">
        <v>9</v>
      </c>
      <c r="C144" t="s">
        <v>48</v>
      </c>
      <c r="D144">
        <v>0.87829888452593097</v>
      </c>
      <c r="E144" t="s">
        <v>18</v>
      </c>
      <c r="F144">
        <v>-39307150.646496199</v>
      </c>
    </row>
    <row r="145" spans="2:7" x14ac:dyDescent="0.2">
      <c r="B145">
        <v>9</v>
      </c>
      <c r="C145" t="s">
        <v>48</v>
      </c>
      <c r="D145">
        <v>0.87829888452593097</v>
      </c>
      <c r="E145" t="s">
        <v>47</v>
      </c>
      <c r="F145">
        <v>8638856886.9730492</v>
      </c>
    </row>
    <row r="146" spans="2:7" x14ac:dyDescent="0.2">
      <c r="B146">
        <v>10</v>
      </c>
      <c r="C146" t="s">
        <v>39</v>
      </c>
      <c r="D146">
        <v>0.84707468077556503</v>
      </c>
      <c r="E146" t="s">
        <v>3</v>
      </c>
      <c r="F146">
        <v>52250.860511978601</v>
      </c>
      <c r="G146">
        <v>19.0670740342667</v>
      </c>
    </row>
    <row r="147" spans="2:7" x14ac:dyDescent="0.2">
      <c r="B147">
        <v>10</v>
      </c>
      <c r="C147" t="s">
        <v>39</v>
      </c>
      <c r="D147">
        <v>0.84707468077556503</v>
      </c>
      <c r="E147" t="s">
        <v>5</v>
      </c>
      <c r="F147">
        <v>17920.872934468502</v>
      </c>
      <c r="G147">
        <v>6.6369817295104898</v>
      </c>
    </row>
    <row r="148" spans="2:7" x14ac:dyDescent="0.2">
      <c r="B148">
        <v>10</v>
      </c>
      <c r="C148" t="s">
        <v>39</v>
      </c>
      <c r="D148">
        <v>0.84707468077556503</v>
      </c>
      <c r="E148" t="s">
        <v>6</v>
      </c>
      <c r="F148">
        <v>35580.754403521401</v>
      </c>
      <c r="G148">
        <v>13.2147326061424</v>
      </c>
    </row>
    <row r="149" spans="2:7" x14ac:dyDescent="0.2">
      <c r="B149">
        <v>10</v>
      </c>
      <c r="C149" t="s">
        <v>39</v>
      </c>
      <c r="D149">
        <v>0.84707468077556503</v>
      </c>
      <c r="E149" t="s">
        <v>7</v>
      </c>
      <c r="F149">
        <v>-6813.1317713961098</v>
      </c>
      <c r="G149">
        <v>-2.4359877295463099</v>
      </c>
    </row>
    <row r="150" spans="2:7" x14ac:dyDescent="0.2">
      <c r="B150">
        <v>10</v>
      </c>
      <c r="C150" t="s">
        <v>39</v>
      </c>
      <c r="D150">
        <v>0.84707468077556503</v>
      </c>
      <c r="E150" t="s">
        <v>8</v>
      </c>
      <c r="F150">
        <v>8498.0707598734298</v>
      </c>
      <c r="G150">
        <v>0.96966067609340001</v>
      </c>
    </row>
    <row r="151" spans="2:7" x14ac:dyDescent="0.2">
      <c r="B151">
        <v>10</v>
      </c>
      <c r="C151" t="s">
        <v>39</v>
      </c>
      <c r="D151">
        <v>0.84707468077556503</v>
      </c>
      <c r="E151" t="s">
        <v>9</v>
      </c>
      <c r="F151">
        <v>-2337.0985690718098</v>
      </c>
      <c r="G151">
        <v>-0.86302922824599104</v>
      </c>
    </row>
    <row r="152" spans="2:7" x14ac:dyDescent="0.2">
      <c r="B152">
        <v>10</v>
      </c>
      <c r="C152" t="s">
        <v>39</v>
      </c>
      <c r="D152">
        <v>0.84707468077556503</v>
      </c>
      <c r="E152" t="s">
        <v>10</v>
      </c>
      <c r="F152">
        <v>-63170.362444381899</v>
      </c>
      <c r="G152">
        <v>-4.63065402706986</v>
      </c>
    </row>
    <row r="153" spans="2:7" x14ac:dyDescent="0.2">
      <c r="B153">
        <v>10</v>
      </c>
      <c r="C153" t="s">
        <v>39</v>
      </c>
      <c r="D153">
        <v>0.84707468077556503</v>
      </c>
      <c r="E153" t="s">
        <v>11</v>
      </c>
      <c r="F153">
        <v>3626.2267888858801</v>
      </c>
      <c r="G153">
        <v>2.0187052150398501</v>
      </c>
    </row>
    <row r="154" spans="2:7" x14ac:dyDescent="0.2">
      <c r="B154">
        <v>10</v>
      </c>
      <c r="C154" t="s">
        <v>39</v>
      </c>
      <c r="D154">
        <v>0.84707468077556503</v>
      </c>
      <c r="E154" t="s">
        <v>12</v>
      </c>
      <c r="F154">
        <v>-12720.026336024101</v>
      </c>
      <c r="G154">
        <v>-0.464871759581934</v>
      </c>
    </row>
    <row r="155" spans="2:7" x14ac:dyDescent="0.2">
      <c r="B155">
        <v>10</v>
      </c>
      <c r="C155" t="s">
        <v>39</v>
      </c>
      <c r="D155">
        <v>0.84707468077556503</v>
      </c>
      <c r="E155" t="s">
        <v>13</v>
      </c>
      <c r="F155">
        <v>-1021.75969725897</v>
      </c>
      <c r="G155">
        <v>-0.18825109959255401</v>
      </c>
    </row>
    <row r="156" spans="2:7" x14ac:dyDescent="0.2">
      <c r="B156">
        <v>10</v>
      </c>
      <c r="C156" t="s">
        <v>39</v>
      </c>
      <c r="D156">
        <v>0.84707468077556503</v>
      </c>
      <c r="E156" t="s">
        <v>14</v>
      </c>
      <c r="F156">
        <v>-1479.2313859671599</v>
      </c>
    </row>
    <row r="157" spans="2:7" x14ac:dyDescent="0.2">
      <c r="B157">
        <v>10</v>
      </c>
      <c r="C157" t="s">
        <v>39</v>
      </c>
      <c r="D157">
        <v>0.84707468077556503</v>
      </c>
      <c r="E157" t="s">
        <v>15</v>
      </c>
      <c r="F157">
        <v>1479.2313859671499</v>
      </c>
    </row>
    <row r="158" spans="2:7" x14ac:dyDescent="0.2">
      <c r="B158">
        <v>10</v>
      </c>
      <c r="C158" t="s">
        <v>39</v>
      </c>
      <c r="D158">
        <v>0.84707468077556503</v>
      </c>
      <c r="E158" t="s">
        <v>16</v>
      </c>
      <c r="F158">
        <v>1981.5734552230001</v>
      </c>
    </row>
    <row r="159" spans="2:7" x14ac:dyDescent="0.2">
      <c r="B159">
        <v>10</v>
      </c>
      <c r="C159" t="s">
        <v>39</v>
      </c>
      <c r="D159">
        <v>0.84707468077556503</v>
      </c>
      <c r="E159" t="s">
        <v>17</v>
      </c>
      <c r="F159">
        <v>-1281.8189174700401</v>
      </c>
    </row>
    <row r="160" spans="2:7" x14ac:dyDescent="0.2">
      <c r="B160">
        <v>10</v>
      </c>
      <c r="C160" t="s">
        <v>39</v>
      </c>
      <c r="D160">
        <v>0.84707468077556503</v>
      </c>
      <c r="E160" t="s">
        <v>18</v>
      </c>
      <c r="F160">
        <v>-699.75453775292704</v>
      </c>
    </row>
    <row r="161" spans="2:7" x14ac:dyDescent="0.2">
      <c r="B161">
        <v>10</v>
      </c>
      <c r="C161" t="s">
        <v>39</v>
      </c>
      <c r="D161">
        <v>0.84707468077556503</v>
      </c>
      <c r="E161" t="s">
        <v>47</v>
      </c>
      <c r="F161">
        <v>358487.98192322301</v>
      </c>
    </row>
    <row r="162" spans="2:7" x14ac:dyDescent="0.2">
      <c r="B162">
        <v>11</v>
      </c>
      <c r="C162" t="s">
        <v>40</v>
      </c>
      <c r="D162">
        <v>0.85712328023220197</v>
      </c>
      <c r="E162" t="s">
        <v>3</v>
      </c>
      <c r="F162">
        <v>-17672.488359335101</v>
      </c>
      <c r="G162">
        <v>-3.4388338995693299</v>
      </c>
    </row>
    <row r="163" spans="2:7" x14ac:dyDescent="0.2">
      <c r="B163">
        <v>11</v>
      </c>
      <c r="C163" t="s">
        <v>40</v>
      </c>
      <c r="D163">
        <v>0.85712328023220197</v>
      </c>
      <c r="E163" t="s">
        <v>5</v>
      </c>
      <c r="F163">
        <v>17242.657557790299</v>
      </c>
      <c r="G163">
        <v>3.4051680828750799</v>
      </c>
    </row>
    <row r="164" spans="2:7" x14ac:dyDescent="0.2">
      <c r="B164">
        <v>11</v>
      </c>
      <c r="C164" t="s">
        <v>40</v>
      </c>
      <c r="D164">
        <v>0.85712328023220197</v>
      </c>
      <c r="E164" t="s">
        <v>6</v>
      </c>
      <c r="F164">
        <v>113332.236185095</v>
      </c>
      <c r="G164">
        <v>22.444998213735801</v>
      </c>
    </row>
    <row r="165" spans="2:7" x14ac:dyDescent="0.2">
      <c r="B165">
        <v>11</v>
      </c>
      <c r="C165" t="s">
        <v>40</v>
      </c>
      <c r="D165">
        <v>0.85712328023220197</v>
      </c>
      <c r="E165" t="s">
        <v>7</v>
      </c>
      <c r="F165">
        <v>-16944.344045005098</v>
      </c>
      <c r="G165">
        <v>-3.23054621317341</v>
      </c>
    </row>
    <row r="166" spans="2:7" x14ac:dyDescent="0.2">
      <c r="B166">
        <v>11</v>
      </c>
      <c r="C166" t="s">
        <v>40</v>
      </c>
      <c r="D166">
        <v>0.85712328023220197</v>
      </c>
      <c r="E166" t="s">
        <v>8</v>
      </c>
      <c r="F166">
        <v>80920.711161089799</v>
      </c>
      <c r="G166">
        <v>4.9235915844628302</v>
      </c>
    </row>
    <row r="167" spans="2:7" x14ac:dyDescent="0.2">
      <c r="B167">
        <v>11</v>
      </c>
      <c r="C167" t="s">
        <v>40</v>
      </c>
      <c r="D167">
        <v>0.85712328023220197</v>
      </c>
      <c r="E167" t="s">
        <v>9</v>
      </c>
      <c r="F167">
        <v>-6426.4779135983299</v>
      </c>
      <c r="G167">
        <v>-1.26544823198915</v>
      </c>
    </row>
    <row r="168" spans="2:7" x14ac:dyDescent="0.2">
      <c r="B168">
        <v>11</v>
      </c>
      <c r="C168" t="s">
        <v>40</v>
      </c>
      <c r="D168">
        <v>0.85712328023220197</v>
      </c>
      <c r="E168" t="s">
        <v>10</v>
      </c>
      <c r="F168">
        <v>-71793.882611055596</v>
      </c>
      <c r="G168">
        <v>-2.8063335979144401</v>
      </c>
    </row>
    <row r="169" spans="2:7" x14ac:dyDescent="0.2">
      <c r="B169">
        <v>11</v>
      </c>
      <c r="C169" t="s">
        <v>40</v>
      </c>
      <c r="D169">
        <v>0.85712328023220197</v>
      </c>
      <c r="E169" t="s">
        <v>11</v>
      </c>
      <c r="F169">
        <v>6246.27598089001</v>
      </c>
      <c r="G169">
        <v>1.85422315976619</v>
      </c>
    </row>
    <row r="170" spans="2:7" x14ac:dyDescent="0.2">
      <c r="B170">
        <v>11</v>
      </c>
      <c r="C170" t="s">
        <v>40</v>
      </c>
      <c r="D170">
        <v>0.85712328023220197</v>
      </c>
      <c r="E170" t="s">
        <v>12</v>
      </c>
      <c r="F170">
        <v>27430.381296483902</v>
      </c>
      <c r="G170">
        <v>0.53456422094716904</v>
      </c>
    </row>
    <row r="171" spans="2:7" x14ac:dyDescent="0.2">
      <c r="B171">
        <v>11</v>
      </c>
      <c r="C171" t="s">
        <v>40</v>
      </c>
      <c r="D171">
        <v>0.85712328023220197</v>
      </c>
      <c r="E171" t="s">
        <v>13</v>
      </c>
      <c r="F171">
        <v>-4782.5590176731703</v>
      </c>
      <c r="G171">
        <v>-0.46986379362778102</v>
      </c>
    </row>
    <row r="172" spans="2:7" x14ac:dyDescent="0.2">
      <c r="B172">
        <v>11</v>
      </c>
      <c r="C172" t="s">
        <v>40</v>
      </c>
      <c r="D172">
        <v>0.85712328023220197</v>
      </c>
      <c r="E172" t="s">
        <v>14</v>
      </c>
      <c r="F172">
        <v>-1097.10636770211</v>
      </c>
    </row>
    <row r="173" spans="2:7" x14ac:dyDescent="0.2">
      <c r="B173">
        <v>11</v>
      </c>
      <c r="C173" t="s">
        <v>40</v>
      </c>
      <c r="D173">
        <v>0.85712328023220197</v>
      </c>
      <c r="E173" t="s">
        <v>15</v>
      </c>
      <c r="F173">
        <v>1097.1063677019799</v>
      </c>
    </row>
    <row r="174" spans="2:7" x14ac:dyDescent="0.2">
      <c r="B174">
        <v>11</v>
      </c>
      <c r="C174" t="s">
        <v>40</v>
      </c>
      <c r="D174">
        <v>0.85712328023220197</v>
      </c>
      <c r="E174" t="s">
        <v>16</v>
      </c>
      <c r="F174">
        <v>2843.3764346264102</v>
      </c>
    </row>
    <row r="175" spans="2:7" x14ac:dyDescent="0.2">
      <c r="B175">
        <v>11</v>
      </c>
      <c r="C175" t="s">
        <v>40</v>
      </c>
      <c r="D175">
        <v>0.85712328023220197</v>
      </c>
      <c r="E175" t="s">
        <v>17</v>
      </c>
      <c r="F175">
        <v>-5237.3939429720704</v>
      </c>
    </row>
    <row r="176" spans="2:7" x14ac:dyDescent="0.2">
      <c r="B176">
        <v>11</v>
      </c>
      <c r="C176" t="s">
        <v>40</v>
      </c>
      <c r="D176">
        <v>0.85712328023220197</v>
      </c>
      <c r="E176" t="s">
        <v>18</v>
      </c>
      <c r="F176">
        <v>2394.0175083459098</v>
      </c>
    </row>
    <row r="177" spans="2:7" x14ac:dyDescent="0.2">
      <c r="B177">
        <v>11</v>
      </c>
      <c r="C177" t="s">
        <v>40</v>
      </c>
      <c r="D177">
        <v>0.85712328023220197</v>
      </c>
      <c r="E177" t="s">
        <v>47</v>
      </c>
      <c r="F177">
        <v>150555.85377314501</v>
      </c>
    </row>
    <row r="178" spans="2:7" x14ac:dyDescent="0.2">
      <c r="B178">
        <v>12</v>
      </c>
      <c r="C178" t="s">
        <v>41</v>
      </c>
      <c r="D178">
        <v>0.96106712334094602</v>
      </c>
      <c r="E178" t="s">
        <v>3</v>
      </c>
      <c r="F178">
        <v>8043.7934681491297</v>
      </c>
      <c r="G178">
        <v>3.03890462448055</v>
      </c>
    </row>
    <row r="179" spans="2:7" x14ac:dyDescent="0.2">
      <c r="B179">
        <v>12</v>
      </c>
      <c r="C179" t="s">
        <v>41</v>
      </c>
      <c r="D179">
        <v>0.96106712334094602</v>
      </c>
      <c r="E179" t="s">
        <v>5</v>
      </c>
      <c r="F179">
        <v>21164.525776996899</v>
      </c>
      <c r="G179">
        <v>8.1149445509137994</v>
      </c>
    </row>
    <row r="180" spans="2:7" x14ac:dyDescent="0.2">
      <c r="B180">
        <v>12</v>
      </c>
      <c r="C180" t="s">
        <v>41</v>
      </c>
      <c r="D180">
        <v>0.96106712334094602</v>
      </c>
      <c r="E180" t="s">
        <v>6</v>
      </c>
      <c r="F180">
        <v>2797.38703083167</v>
      </c>
      <c r="G180">
        <v>1.07562611554363</v>
      </c>
    </row>
    <row r="181" spans="2:7" x14ac:dyDescent="0.2">
      <c r="B181">
        <v>12</v>
      </c>
      <c r="C181" t="s">
        <v>41</v>
      </c>
      <c r="D181">
        <v>0.96106712334094602</v>
      </c>
      <c r="E181" t="s">
        <v>7</v>
      </c>
      <c r="F181">
        <v>-2242.3604982581101</v>
      </c>
      <c r="G181">
        <v>-0.83004052258059902</v>
      </c>
    </row>
    <row r="182" spans="2:7" x14ac:dyDescent="0.2">
      <c r="B182">
        <v>12</v>
      </c>
      <c r="C182" t="s">
        <v>41</v>
      </c>
      <c r="D182">
        <v>0.96106712334094602</v>
      </c>
      <c r="E182" t="s">
        <v>8</v>
      </c>
      <c r="F182">
        <v>5562.6942187746499</v>
      </c>
      <c r="G182">
        <v>0.65712831533554195</v>
      </c>
    </row>
    <row r="183" spans="2:7" x14ac:dyDescent="0.2">
      <c r="B183">
        <v>12</v>
      </c>
      <c r="C183" t="s">
        <v>41</v>
      </c>
      <c r="D183">
        <v>0.96106712334094602</v>
      </c>
      <c r="E183" t="s">
        <v>9</v>
      </c>
      <c r="F183">
        <v>-555.24216341821102</v>
      </c>
      <c r="G183">
        <v>-0.21227383478609299</v>
      </c>
    </row>
    <row r="184" spans="2:7" x14ac:dyDescent="0.2">
      <c r="B184">
        <v>12</v>
      </c>
      <c r="C184" t="s">
        <v>41</v>
      </c>
      <c r="D184">
        <v>0.96106712334094602</v>
      </c>
      <c r="E184" t="s">
        <v>10</v>
      </c>
      <c r="F184">
        <v>-11737.488416934901</v>
      </c>
      <c r="G184">
        <v>-0.89077843724944905</v>
      </c>
    </row>
    <row r="185" spans="2:7" x14ac:dyDescent="0.2">
      <c r="B185">
        <v>12</v>
      </c>
      <c r="C185" s="1" t="s">
        <v>41</v>
      </c>
      <c r="D185">
        <v>0.96106712334094602</v>
      </c>
      <c r="E185" t="s">
        <v>11</v>
      </c>
      <c r="F185">
        <v>-81820.760101065796</v>
      </c>
      <c r="G185">
        <v>-47.157090910476597</v>
      </c>
    </row>
    <row r="186" spans="2:7" x14ac:dyDescent="0.2">
      <c r="B186">
        <v>12</v>
      </c>
      <c r="C186" t="s">
        <v>41</v>
      </c>
      <c r="D186">
        <v>0.96106712334094602</v>
      </c>
      <c r="E186" t="s">
        <v>12</v>
      </c>
      <c r="F186">
        <v>17719.675675600101</v>
      </c>
      <c r="G186">
        <v>0.67045012410077198</v>
      </c>
    </row>
    <row r="187" spans="2:7" x14ac:dyDescent="0.2">
      <c r="B187">
        <v>12</v>
      </c>
      <c r="C187" t="s">
        <v>41</v>
      </c>
      <c r="D187">
        <v>0.96106712334094602</v>
      </c>
      <c r="E187" t="s">
        <v>13</v>
      </c>
      <c r="F187">
        <v>-361.70352719092301</v>
      </c>
      <c r="G187">
        <v>-6.8993321038370595E-2</v>
      </c>
    </row>
    <row r="188" spans="2:7" x14ac:dyDescent="0.2">
      <c r="B188">
        <v>12</v>
      </c>
      <c r="C188" t="s">
        <v>41</v>
      </c>
      <c r="D188">
        <v>0.96106712334094602</v>
      </c>
      <c r="E188" t="s">
        <v>14</v>
      </c>
      <c r="F188">
        <v>1157.62566009173</v>
      </c>
    </row>
    <row r="189" spans="2:7" x14ac:dyDescent="0.2">
      <c r="B189">
        <v>12</v>
      </c>
      <c r="C189" t="s">
        <v>41</v>
      </c>
      <c r="D189">
        <v>0.96106712334094602</v>
      </c>
      <c r="E189" t="s">
        <v>15</v>
      </c>
      <c r="F189">
        <v>-1157.62566009175</v>
      </c>
    </row>
    <row r="190" spans="2:7" x14ac:dyDescent="0.2">
      <c r="B190">
        <v>12</v>
      </c>
      <c r="C190" t="s">
        <v>41</v>
      </c>
      <c r="D190">
        <v>0.96106712334094602</v>
      </c>
      <c r="E190" t="s">
        <v>16</v>
      </c>
      <c r="F190">
        <v>1074.9925627370301</v>
      </c>
    </row>
    <row r="191" spans="2:7" x14ac:dyDescent="0.2">
      <c r="B191">
        <v>12</v>
      </c>
      <c r="C191" t="s">
        <v>41</v>
      </c>
      <c r="D191">
        <v>0.96106712334094602</v>
      </c>
      <c r="E191" t="s">
        <v>17</v>
      </c>
      <c r="F191">
        <v>493.02319890093099</v>
      </c>
    </row>
    <row r="192" spans="2:7" x14ac:dyDescent="0.2">
      <c r="B192">
        <v>12</v>
      </c>
      <c r="C192" t="s">
        <v>41</v>
      </c>
      <c r="D192">
        <v>0.96106712334094602</v>
      </c>
      <c r="E192" t="s">
        <v>18</v>
      </c>
      <c r="F192">
        <v>-1568.0157616378699</v>
      </c>
    </row>
    <row r="193" spans="2:7" x14ac:dyDescent="0.2">
      <c r="B193">
        <v>12</v>
      </c>
      <c r="C193" t="s">
        <v>41</v>
      </c>
      <c r="D193">
        <v>0.96106712334094602</v>
      </c>
      <c r="E193" t="s">
        <v>47</v>
      </c>
      <c r="F193">
        <v>197589.108588223</v>
      </c>
    </row>
    <row r="194" spans="2:7" x14ac:dyDescent="0.2">
      <c r="B194">
        <v>13</v>
      </c>
      <c r="C194" t="s">
        <v>42</v>
      </c>
      <c r="D194">
        <v>0.94406579974353799</v>
      </c>
      <c r="E194" t="s">
        <v>3</v>
      </c>
      <c r="F194">
        <v>-2725.3842524244001</v>
      </c>
      <c r="G194">
        <v>-2.9418805462875999</v>
      </c>
    </row>
    <row r="195" spans="2:7" x14ac:dyDescent="0.2">
      <c r="B195">
        <v>13</v>
      </c>
      <c r="C195" s="1" t="s">
        <v>42</v>
      </c>
      <c r="D195">
        <v>0.94406579974353799</v>
      </c>
      <c r="E195" t="s">
        <v>5</v>
      </c>
      <c r="F195">
        <v>6954.2150302887803</v>
      </c>
      <c r="G195">
        <v>7.6184437166123899</v>
      </c>
    </row>
    <row r="196" spans="2:7" x14ac:dyDescent="0.2">
      <c r="B196">
        <v>13</v>
      </c>
      <c r="C196" t="s">
        <v>42</v>
      </c>
      <c r="D196">
        <v>0.94406579974353799</v>
      </c>
      <c r="E196" t="s">
        <v>6</v>
      </c>
      <c r="F196">
        <v>7080.4992651320299</v>
      </c>
      <c r="G196">
        <v>7.7788213301426703</v>
      </c>
    </row>
    <row r="197" spans="2:7" x14ac:dyDescent="0.2">
      <c r="B197">
        <v>13</v>
      </c>
      <c r="C197" t="s">
        <v>42</v>
      </c>
      <c r="D197">
        <v>0.94406579974353799</v>
      </c>
      <c r="E197" t="s">
        <v>7</v>
      </c>
      <c r="F197">
        <v>-2121.1523537620901</v>
      </c>
      <c r="G197">
        <v>-2.2434007334560899</v>
      </c>
    </row>
    <row r="198" spans="2:7" x14ac:dyDescent="0.2">
      <c r="B198">
        <v>13</v>
      </c>
      <c r="C198" t="s">
        <v>42</v>
      </c>
      <c r="D198">
        <v>0.94406579974353799</v>
      </c>
      <c r="E198" t="s">
        <v>8</v>
      </c>
      <c r="F198">
        <v>8952.5675095878996</v>
      </c>
      <c r="G198">
        <v>3.0217166087993301</v>
      </c>
    </row>
    <row r="199" spans="2:7" x14ac:dyDescent="0.2">
      <c r="B199">
        <v>13</v>
      </c>
      <c r="C199" t="s">
        <v>42</v>
      </c>
      <c r="D199">
        <v>0.94406579974353799</v>
      </c>
      <c r="E199" t="s">
        <v>9</v>
      </c>
      <c r="F199">
        <v>-868.46772677270201</v>
      </c>
      <c r="G199">
        <v>-0.94865619140938695</v>
      </c>
    </row>
    <row r="200" spans="2:7" x14ac:dyDescent="0.2">
      <c r="B200">
        <v>13</v>
      </c>
      <c r="C200" t="s">
        <v>42</v>
      </c>
      <c r="D200">
        <v>0.94406579974353799</v>
      </c>
      <c r="E200" t="s">
        <v>10</v>
      </c>
      <c r="F200">
        <v>-9244.8467817806595</v>
      </c>
      <c r="G200">
        <v>-2.00463528390181</v>
      </c>
    </row>
    <row r="201" spans="2:7" x14ac:dyDescent="0.2">
      <c r="B201">
        <v>13</v>
      </c>
      <c r="C201" t="s">
        <v>42</v>
      </c>
      <c r="D201">
        <v>0.94406579974353799</v>
      </c>
      <c r="E201" t="s">
        <v>11</v>
      </c>
      <c r="F201">
        <v>-22187.138252541201</v>
      </c>
      <c r="G201">
        <v>-36.5364139521471</v>
      </c>
    </row>
    <row r="202" spans="2:7" x14ac:dyDescent="0.2">
      <c r="B202">
        <v>13</v>
      </c>
      <c r="C202" t="s">
        <v>42</v>
      </c>
      <c r="D202">
        <v>0.94406579974353799</v>
      </c>
      <c r="E202" t="s">
        <v>12</v>
      </c>
      <c r="F202">
        <v>5649.7169847277901</v>
      </c>
      <c r="G202">
        <v>0.61077117571688699</v>
      </c>
    </row>
    <row r="203" spans="2:7" x14ac:dyDescent="0.2">
      <c r="B203">
        <v>13</v>
      </c>
      <c r="C203" t="s">
        <v>42</v>
      </c>
      <c r="D203">
        <v>0.94406579974353799</v>
      </c>
      <c r="E203" t="s">
        <v>13</v>
      </c>
      <c r="F203">
        <v>-218.55117855150399</v>
      </c>
      <c r="G203">
        <v>-0.11911010096888899</v>
      </c>
    </row>
    <row r="204" spans="2:7" x14ac:dyDescent="0.2">
      <c r="B204">
        <v>13</v>
      </c>
      <c r="C204" t="s">
        <v>42</v>
      </c>
      <c r="D204">
        <v>0.94406579974353799</v>
      </c>
      <c r="E204" t="s">
        <v>14</v>
      </c>
      <c r="F204">
        <v>244.54437786882301</v>
      </c>
    </row>
    <row r="205" spans="2:7" x14ac:dyDescent="0.2">
      <c r="B205">
        <v>13</v>
      </c>
      <c r="C205" t="s">
        <v>42</v>
      </c>
      <c r="D205">
        <v>0.94406579974353799</v>
      </c>
      <c r="E205" t="s">
        <v>15</v>
      </c>
      <c r="F205">
        <v>-244.54437786883901</v>
      </c>
    </row>
    <row r="206" spans="2:7" x14ac:dyDescent="0.2">
      <c r="B206">
        <v>13</v>
      </c>
      <c r="C206" t="s">
        <v>42</v>
      </c>
      <c r="D206">
        <v>0.94406579974353799</v>
      </c>
      <c r="E206" t="s">
        <v>16</v>
      </c>
      <c r="F206">
        <v>22.446909383411999</v>
      </c>
    </row>
    <row r="207" spans="2:7" x14ac:dyDescent="0.2">
      <c r="B207">
        <v>13</v>
      </c>
      <c r="C207" t="s">
        <v>42</v>
      </c>
      <c r="D207">
        <v>0.94406579974353799</v>
      </c>
      <c r="E207" t="s">
        <v>17</v>
      </c>
      <c r="F207">
        <v>216.109599398451</v>
      </c>
    </row>
    <row r="208" spans="2:7" x14ac:dyDescent="0.2">
      <c r="B208">
        <v>13</v>
      </c>
      <c r="C208" t="s">
        <v>42</v>
      </c>
      <c r="D208">
        <v>0.94406579974353799</v>
      </c>
      <c r="E208" t="s">
        <v>18</v>
      </c>
      <c r="F208">
        <v>-238.556508781822</v>
      </c>
    </row>
    <row r="209" spans="2:7" x14ac:dyDescent="0.2">
      <c r="B209">
        <v>13</v>
      </c>
      <c r="C209" t="s">
        <v>42</v>
      </c>
      <c r="D209">
        <v>0.94406579974353799</v>
      </c>
      <c r="E209" t="s">
        <v>47</v>
      </c>
      <c r="F209">
        <v>56912.652708114198</v>
      </c>
    </row>
    <row r="210" spans="2:7" x14ac:dyDescent="0.2">
      <c r="B210">
        <v>14</v>
      </c>
      <c r="C210" t="s">
        <v>45</v>
      </c>
      <c r="D210">
        <v>0.817801986920071</v>
      </c>
      <c r="E210" t="s">
        <v>3</v>
      </c>
      <c r="F210">
        <v>408462979037.58698</v>
      </c>
      <c r="G210">
        <v>9.2155618211899899</v>
      </c>
    </row>
    <row r="211" spans="2:7" x14ac:dyDescent="0.2">
      <c r="B211">
        <v>14</v>
      </c>
      <c r="C211" t="s">
        <v>45</v>
      </c>
      <c r="D211">
        <v>0.817801986920071</v>
      </c>
      <c r="E211" t="s">
        <v>5</v>
      </c>
      <c r="F211">
        <v>24970129805.7397</v>
      </c>
      <c r="G211">
        <v>0.57175605465452295</v>
      </c>
    </row>
    <row r="212" spans="2:7" x14ac:dyDescent="0.2">
      <c r="B212">
        <v>14</v>
      </c>
      <c r="C212" t="s">
        <v>45</v>
      </c>
      <c r="D212">
        <v>0.817801986920071</v>
      </c>
      <c r="E212" t="s">
        <v>6</v>
      </c>
      <c r="F212">
        <v>67532678585.1604</v>
      </c>
      <c r="G212">
        <v>1.5507283058338901</v>
      </c>
    </row>
    <row r="213" spans="2:7" x14ac:dyDescent="0.2">
      <c r="B213">
        <v>14</v>
      </c>
      <c r="C213" t="s">
        <v>45</v>
      </c>
      <c r="D213">
        <v>0.817801986920071</v>
      </c>
      <c r="E213" t="s">
        <v>7</v>
      </c>
      <c r="F213">
        <v>-763326489869.69995</v>
      </c>
      <c r="G213">
        <v>-16.8739653320707</v>
      </c>
    </row>
    <row r="214" spans="2:7" x14ac:dyDescent="0.2">
      <c r="B214">
        <v>14</v>
      </c>
      <c r="C214" t="s">
        <v>45</v>
      </c>
      <c r="D214">
        <v>0.817801986920071</v>
      </c>
      <c r="E214" t="s">
        <v>8</v>
      </c>
      <c r="F214">
        <v>-436781746139.888</v>
      </c>
      <c r="G214">
        <v>-3.08135993484199</v>
      </c>
    </row>
    <row r="215" spans="2:7" x14ac:dyDescent="0.2">
      <c r="B215">
        <v>14</v>
      </c>
      <c r="C215" t="s">
        <v>45</v>
      </c>
      <c r="D215">
        <v>0.817801986920071</v>
      </c>
      <c r="E215" t="s">
        <v>9</v>
      </c>
      <c r="F215">
        <v>171478310263.37399</v>
      </c>
      <c r="G215">
        <v>3.9150397943344801</v>
      </c>
    </row>
    <row r="216" spans="2:7" x14ac:dyDescent="0.2">
      <c r="B216">
        <v>14</v>
      </c>
      <c r="C216" t="s">
        <v>45</v>
      </c>
      <c r="D216">
        <v>0.817801986920071</v>
      </c>
      <c r="E216" t="s">
        <v>10</v>
      </c>
      <c r="F216">
        <v>1037682890003.47</v>
      </c>
      <c r="G216">
        <v>4.7029691765994297</v>
      </c>
    </row>
    <row r="217" spans="2:7" x14ac:dyDescent="0.2">
      <c r="B217">
        <v>14</v>
      </c>
      <c r="C217" t="s">
        <v>45</v>
      </c>
      <c r="D217">
        <v>0.817801986920071</v>
      </c>
      <c r="E217" t="s">
        <v>11</v>
      </c>
      <c r="F217">
        <v>-23169815693.130402</v>
      </c>
      <c r="G217">
        <v>-0.79747859103983199</v>
      </c>
    </row>
    <row r="218" spans="2:7" x14ac:dyDescent="0.2">
      <c r="B218">
        <v>14</v>
      </c>
      <c r="C218" t="s">
        <v>45</v>
      </c>
      <c r="D218">
        <v>0.817801986920071</v>
      </c>
      <c r="E218" t="s">
        <v>12</v>
      </c>
      <c r="F218">
        <v>-959421588116.65796</v>
      </c>
      <c r="G218">
        <v>-2.16786957701451</v>
      </c>
    </row>
    <row r="219" spans="2:7" x14ac:dyDescent="0.2">
      <c r="B219">
        <v>14</v>
      </c>
      <c r="C219" t="s">
        <v>45</v>
      </c>
      <c r="D219">
        <v>0.817801986920071</v>
      </c>
      <c r="E219" t="s">
        <v>13</v>
      </c>
      <c r="F219">
        <v>51781485974.479797</v>
      </c>
      <c r="G219">
        <v>0.58985025758979404</v>
      </c>
    </row>
    <row r="220" spans="2:7" x14ac:dyDescent="0.2">
      <c r="B220">
        <v>14</v>
      </c>
      <c r="C220" t="s">
        <v>45</v>
      </c>
      <c r="D220">
        <v>0.817801986920071</v>
      </c>
      <c r="E220" t="s">
        <v>14</v>
      </c>
      <c r="F220">
        <v>-7124007395.0486298</v>
      </c>
    </row>
    <row r="221" spans="2:7" x14ac:dyDescent="0.2">
      <c r="B221">
        <v>14</v>
      </c>
      <c r="C221" t="s">
        <v>45</v>
      </c>
      <c r="D221">
        <v>0.817801986920071</v>
      </c>
      <c r="E221" t="s">
        <v>15</v>
      </c>
      <c r="F221">
        <v>7124007395.0506001</v>
      </c>
    </row>
    <row r="222" spans="2:7" x14ac:dyDescent="0.2">
      <c r="B222">
        <v>14</v>
      </c>
      <c r="C222" t="s">
        <v>45</v>
      </c>
      <c r="D222">
        <v>0.817801986920071</v>
      </c>
      <c r="E222" t="s">
        <v>16</v>
      </c>
      <c r="F222">
        <v>23801986713.333401</v>
      </c>
    </row>
    <row r="223" spans="2:7" x14ac:dyDescent="0.2">
      <c r="B223">
        <v>14</v>
      </c>
      <c r="C223" t="s">
        <v>45</v>
      </c>
      <c r="D223">
        <v>0.817801986920071</v>
      </c>
      <c r="E223" t="s">
        <v>17</v>
      </c>
      <c r="F223">
        <v>-9979252073.7932396</v>
      </c>
    </row>
    <row r="224" spans="2:7" x14ac:dyDescent="0.2">
      <c r="B224">
        <v>14</v>
      </c>
      <c r="C224" t="s">
        <v>45</v>
      </c>
      <c r="D224">
        <v>0.817801986920071</v>
      </c>
      <c r="E224" t="s">
        <v>18</v>
      </c>
      <c r="F224">
        <v>-13822734639.545099</v>
      </c>
    </row>
    <row r="225" spans="2:7" x14ac:dyDescent="0.2">
      <c r="B225">
        <v>14</v>
      </c>
      <c r="C225" t="s">
        <v>45</v>
      </c>
      <c r="D225">
        <v>0.817801986920071</v>
      </c>
      <c r="E225" t="s">
        <v>47</v>
      </c>
      <c r="F225">
        <v>2455802814029.3999</v>
      </c>
    </row>
    <row r="226" spans="2:7" x14ac:dyDescent="0.2">
      <c r="B226">
        <v>15</v>
      </c>
      <c r="C226" t="s">
        <v>43</v>
      </c>
      <c r="D226">
        <v>0.66577175911442998</v>
      </c>
      <c r="E226" t="s">
        <v>3</v>
      </c>
      <c r="F226">
        <v>102635078.40164199</v>
      </c>
      <c r="G226">
        <v>9.9881891716908502</v>
      </c>
    </row>
    <row r="227" spans="2:7" x14ac:dyDescent="0.2">
      <c r="B227">
        <v>15</v>
      </c>
      <c r="C227" t="s">
        <v>43</v>
      </c>
      <c r="D227">
        <v>0.66577175911442998</v>
      </c>
      <c r="E227" t="s">
        <v>5</v>
      </c>
      <c r="F227">
        <v>5209503.7716901703</v>
      </c>
      <c r="G227">
        <v>0.51452698092732096</v>
      </c>
    </row>
    <row r="228" spans="2:7" x14ac:dyDescent="0.2">
      <c r="B228">
        <v>15</v>
      </c>
      <c r="C228" t="s">
        <v>43</v>
      </c>
      <c r="D228">
        <v>0.66577175911442998</v>
      </c>
      <c r="E228" t="s">
        <v>6</v>
      </c>
      <c r="F228">
        <v>-4411307.4439727701</v>
      </c>
      <c r="G228">
        <v>-0.436929018897591</v>
      </c>
    </row>
    <row r="229" spans="2:7" x14ac:dyDescent="0.2">
      <c r="B229">
        <v>15</v>
      </c>
      <c r="C229" t="s">
        <v>43</v>
      </c>
      <c r="D229">
        <v>0.66577175911442998</v>
      </c>
      <c r="E229" t="s">
        <v>7</v>
      </c>
      <c r="F229">
        <v>-55812764.864445299</v>
      </c>
      <c r="G229">
        <v>-5.3218444913172096</v>
      </c>
    </row>
    <row r="230" spans="2:7" x14ac:dyDescent="0.2">
      <c r="B230">
        <v>15</v>
      </c>
      <c r="C230" t="s">
        <v>43</v>
      </c>
      <c r="D230">
        <v>0.66577175911442998</v>
      </c>
      <c r="E230" t="s">
        <v>8</v>
      </c>
      <c r="F230">
        <v>-111306442.031414</v>
      </c>
      <c r="G230">
        <v>-3.38703805382666</v>
      </c>
    </row>
    <row r="231" spans="2:7" x14ac:dyDescent="0.2">
      <c r="B231">
        <v>15</v>
      </c>
      <c r="C231" t="s">
        <v>43</v>
      </c>
      <c r="D231">
        <v>0.66577175911442998</v>
      </c>
      <c r="E231" t="s">
        <v>9</v>
      </c>
      <c r="F231">
        <v>38733891.5842577</v>
      </c>
      <c r="G231">
        <v>3.8145204045968999</v>
      </c>
    </row>
    <row r="232" spans="2:7" x14ac:dyDescent="0.2">
      <c r="B232">
        <v>15</v>
      </c>
      <c r="C232" t="s">
        <v>43</v>
      </c>
      <c r="D232">
        <v>0.66577175911442998</v>
      </c>
      <c r="E232" t="s">
        <v>10</v>
      </c>
      <c r="F232">
        <v>234349919.028992</v>
      </c>
      <c r="G232">
        <v>4.58135671856376</v>
      </c>
    </row>
    <row r="233" spans="2:7" x14ac:dyDescent="0.2">
      <c r="B233">
        <v>15</v>
      </c>
      <c r="C233" t="s">
        <v>43</v>
      </c>
      <c r="D233">
        <v>0.66577175911442998</v>
      </c>
      <c r="E233" t="s">
        <v>11</v>
      </c>
      <c r="F233">
        <v>-4776019.1628266703</v>
      </c>
      <c r="G233">
        <v>-0.70906220791518204</v>
      </c>
    </row>
    <row r="234" spans="2:7" x14ac:dyDescent="0.2">
      <c r="B234">
        <v>15</v>
      </c>
      <c r="C234" t="s">
        <v>43</v>
      </c>
      <c r="D234">
        <v>0.66577175911442998</v>
      </c>
      <c r="E234" t="s">
        <v>12</v>
      </c>
      <c r="F234">
        <v>-194832162.59226999</v>
      </c>
      <c r="G234">
        <v>-1.8989176873978</v>
      </c>
    </row>
    <row r="235" spans="2:7" x14ac:dyDescent="0.2">
      <c r="B235">
        <v>15</v>
      </c>
      <c r="C235" t="s">
        <v>43</v>
      </c>
      <c r="D235">
        <v>0.66577175911442998</v>
      </c>
      <c r="E235" t="s">
        <v>13</v>
      </c>
      <c r="F235">
        <v>11676355.019612901</v>
      </c>
      <c r="G235">
        <v>0.57371523101035604</v>
      </c>
    </row>
    <row r="236" spans="2:7" x14ac:dyDescent="0.2">
      <c r="B236">
        <v>15</v>
      </c>
      <c r="C236" t="s">
        <v>43</v>
      </c>
      <c r="D236">
        <v>0.66577175911442998</v>
      </c>
      <c r="E236" t="s">
        <v>14</v>
      </c>
      <c r="F236">
        <v>-1121368.2042072201</v>
      </c>
    </row>
    <row r="237" spans="2:7" x14ac:dyDescent="0.2">
      <c r="B237">
        <v>15</v>
      </c>
      <c r="C237" t="s">
        <v>43</v>
      </c>
      <c r="D237">
        <v>0.66577175911442998</v>
      </c>
      <c r="E237" t="s">
        <v>15</v>
      </c>
      <c r="F237">
        <v>1121368.2042076101</v>
      </c>
    </row>
    <row r="238" spans="2:7" x14ac:dyDescent="0.2">
      <c r="B238">
        <v>15</v>
      </c>
      <c r="C238" t="s">
        <v>43</v>
      </c>
      <c r="D238">
        <v>0.66577175911442998</v>
      </c>
      <c r="E238" t="s">
        <v>16</v>
      </c>
      <c r="F238">
        <v>3025489.0843879399</v>
      </c>
    </row>
    <row r="239" spans="2:7" x14ac:dyDescent="0.2">
      <c r="B239">
        <v>15</v>
      </c>
      <c r="C239" t="s">
        <v>43</v>
      </c>
      <c r="D239">
        <v>0.66577175911442998</v>
      </c>
      <c r="E239" t="s">
        <v>17</v>
      </c>
      <c r="F239">
        <v>-968412.70017777802</v>
      </c>
    </row>
    <row r="240" spans="2:7" x14ac:dyDescent="0.2">
      <c r="B240">
        <v>15</v>
      </c>
      <c r="C240" t="s">
        <v>43</v>
      </c>
      <c r="D240">
        <v>0.66577175911442998</v>
      </c>
      <c r="E240" t="s">
        <v>18</v>
      </c>
      <c r="F240">
        <v>-2057076.38421135</v>
      </c>
    </row>
    <row r="241" spans="2:7" x14ac:dyDescent="0.2">
      <c r="B241">
        <v>15</v>
      </c>
      <c r="C241" t="s">
        <v>43</v>
      </c>
      <c r="D241">
        <v>0.66577175911442998</v>
      </c>
      <c r="E241" t="s">
        <v>47</v>
      </c>
      <c r="F241">
        <v>653904004.07933998</v>
      </c>
    </row>
    <row r="242" spans="2:7" x14ac:dyDescent="0.2">
      <c r="B242">
        <v>16</v>
      </c>
      <c r="C242" t="s">
        <v>33</v>
      </c>
      <c r="D242">
        <v>0.82704458032822004</v>
      </c>
      <c r="E242" t="s">
        <v>3</v>
      </c>
      <c r="F242">
        <v>0.21373511820760199</v>
      </c>
      <c r="G242">
        <v>9.4419402224292597</v>
      </c>
    </row>
    <row r="243" spans="2:7" x14ac:dyDescent="0.2">
      <c r="B243">
        <v>16</v>
      </c>
      <c r="C243" t="s">
        <v>33</v>
      </c>
      <c r="D243">
        <v>0.82704458032822004</v>
      </c>
      <c r="E243" t="s">
        <v>5</v>
      </c>
      <c r="F243">
        <v>2.2990749407554599E-2</v>
      </c>
      <c r="G243">
        <v>1.03076424288038</v>
      </c>
    </row>
    <row r="244" spans="2:7" x14ac:dyDescent="0.2">
      <c r="B244">
        <v>16</v>
      </c>
      <c r="C244" t="s">
        <v>33</v>
      </c>
      <c r="D244">
        <v>0.82704458032822004</v>
      </c>
      <c r="E244" t="s">
        <v>6</v>
      </c>
      <c r="F244">
        <v>-0.38543776986904899</v>
      </c>
      <c r="G244">
        <v>-17.329748212605899</v>
      </c>
    </row>
    <row r="245" spans="2:7" x14ac:dyDescent="0.2">
      <c r="B245">
        <v>16</v>
      </c>
      <c r="C245" t="s">
        <v>33</v>
      </c>
      <c r="D245">
        <v>0.82704458032822004</v>
      </c>
      <c r="E245" t="s">
        <v>7</v>
      </c>
      <c r="F245">
        <v>6.50690180894853E-2</v>
      </c>
      <c r="G245">
        <v>2.8164193279247201</v>
      </c>
    </row>
    <row r="246" spans="2:7" x14ac:dyDescent="0.2">
      <c r="B246">
        <v>16</v>
      </c>
      <c r="C246" t="s">
        <v>33</v>
      </c>
      <c r="D246">
        <v>0.82704458032822004</v>
      </c>
      <c r="E246" t="s">
        <v>8</v>
      </c>
      <c r="F246">
        <v>-0.40536450168686899</v>
      </c>
      <c r="G246">
        <v>-5.5993795898384802</v>
      </c>
    </row>
    <row r="247" spans="2:7" x14ac:dyDescent="0.2">
      <c r="B247">
        <v>16</v>
      </c>
      <c r="C247" t="s">
        <v>33</v>
      </c>
      <c r="D247">
        <v>0.82704458032822004</v>
      </c>
      <c r="E247" t="s">
        <v>9</v>
      </c>
      <c r="F247">
        <v>2.7700741392303701E-2</v>
      </c>
      <c r="G247">
        <v>1.2383249484286101</v>
      </c>
    </row>
    <row r="248" spans="2:7" x14ac:dyDescent="0.2">
      <c r="B248">
        <v>16</v>
      </c>
      <c r="C248" t="s">
        <v>33</v>
      </c>
      <c r="D248">
        <v>0.82704458032822004</v>
      </c>
      <c r="E248" t="s">
        <v>10</v>
      </c>
      <c r="F248">
        <v>0.22019203302389601</v>
      </c>
      <c r="G248">
        <v>1.95400343233434</v>
      </c>
    </row>
    <row r="249" spans="2:7" x14ac:dyDescent="0.2">
      <c r="B249">
        <v>16</v>
      </c>
      <c r="C249" t="s">
        <v>33</v>
      </c>
      <c r="D249">
        <v>0.82704458032822004</v>
      </c>
      <c r="E249" t="s">
        <v>11</v>
      </c>
      <c r="F249">
        <v>-2.1392816775281501E-2</v>
      </c>
      <c r="G249">
        <v>-1.44171915862473</v>
      </c>
    </row>
    <row r="250" spans="2:7" x14ac:dyDescent="0.2">
      <c r="B250">
        <v>16</v>
      </c>
      <c r="C250" t="s">
        <v>33</v>
      </c>
      <c r="D250">
        <v>0.82704458032822004</v>
      </c>
      <c r="E250" t="s">
        <v>12</v>
      </c>
      <c r="F250">
        <v>-0.46486517886066903</v>
      </c>
      <c r="G250">
        <v>-2.05668094770401</v>
      </c>
    </row>
    <row r="251" spans="2:7" x14ac:dyDescent="0.2">
      <c r="B251">
        <v>16</v>
      </c>
      <c r="C251" t="s">
        <v>33</v>
      </c>
      <c r="D251">
        <v>0.82704458032822004</v>
      </c>
      <c r="E251" t="s">
        <v>13</v>
      </c>
      <c r="F251">
        <v>5.99053032703012E-3</v>
      </c>
      <c r="G251">
        <v>0.13361301982916099</v>
      </c>
    </row>
    <row r="252" spans="2:7" x14ac:dyDescent="0.2">
      <c r="B252">
        <v>16</v>
      </c>
      <c r="C252" t="s">
        <v>33</v>
      </c>
      <c r="D252">
        <v>0.82704458032822004</v>
      </c>
      <c r="E252" t="s">
        <v>14</v>
      </c>
      <c r="F252">
        <v>3.16179090320116E-3</v>
      </c>
    </row>
    <row r="253" spans="2:7" x14ac:dyDescent="0.2">
      <c r="B253">
        <v>16</v>
      </c>
      <c r="C253" t="s">
        <v>33</v>
      </c>
      <c r="D253">
        <v>0.82704458032822004</v>
      </c>
      <c r="E253" t="s">
        <v>15</v>
      </c>
      <c r="F253">
        <v>-3.1617909032000701E-3</v>
      </c>
    </row>
    <row r="254" spans="2:7" x14ac:dyDescent="0.2">
      <c r="B254">
        <v>16</v>
      </c>
      <c r="C254" t="s">
        <v>33</v>
      </c>
      <c r="D254">
        <v>0.82704458032822004</v>
      </c>
      <c r="E254" t="s">
        <v>16</v>
      </c>
      <c r="F254">
        <v>-1.42045308431354E-2</v>
      </c>
    </row>
    <row r="255" spans="2:7" x14ac:dyDescent="0.2">
      <c r="B255">
        <v>16</v>
      </c>
      <c r="C255" t="s">
        <v>33</v>
      </c>
      <c r="D255">
        <v>0.82704458032822004</v>
      </c>
      <c r="E255" t="s">
        <v>17</v>
      </c>
      <c r="F255">
        <v>2.5037513383210398E-2</v>
      </c>
    </row>
    <row r="256" spans="2:7" x14ac:dyDescent="0.2">
      <c r="B256">
        <v>16</v>
      </c>
      <c r="C256" t="s">
        <v>33</v>
      </c>
      <c r="D256">
        <v>0.82704458032822004</v>
      </c>
      <c r="E256" t="s">
        <v>18</v>
      </c>
      <c r="F256">
        <v>-1.08329825400772E-2</v>
      </c>
    </row>
    <row r="257" spans="2:7" x14ac:dyDescent="0.2">
      <c r="B257">
        <v>16</v>
      </c>
      <c r="C257" t="s">
        <v>33</v>
      </c>
      <c r="D257">
        <v>0.82704458032822004</v>
      </c>
      <c r="E257" t="s">
        <v>47</v>
      </c>
      <c r="F257">
        <v>1.8466183394492801</v>
      </c>
    </row>
    <row r="258" spans="2:7" x14ac:dyDescent="0.2">
      <c r="B258">
        <v>17</v>
      </c>
      <c r="C258" t="s">
        <v>46</v>
      </c>
      <c r="D258">
        <v>0.69729109437981196</v>
      </c>
      <c r="E258" t="s">
        <v>3</v>
      </c>
      <c r="F258">
        <v>11604289.1848244</v>
      </c>
      <c r="G258">
        <v>9.9614666847239199</v>
      </c>
    </row>
    <row r="259" spans="2:7" x14ac:dyDescent="0.2">
      <c r="B259">
        <v>17</v>
      </c>
      <c r="C259" t="s">
        <v>46</v>
      </c>
      <c r="D259">
        <v>0.69729109437981196</v>
      </c>
      <c r="E259" t="s">
        <v>5</v>
      </c>
      <c r="F259">
        <v>1088381.82698906</v>
      </c>
      <c r="G259">
        <v>0.94821513103334998</v>
      </c>
    </row>
    <row r="260" spans="2:7" x14ac:dyDescent="0.2">
      <c r="B260">
        <v>17</v>
      </c>
      <c r="C260" t="s">
        <v>46</v>
      </c>
      <c r="D260">
        <v>0.69729109437981196</v>
      </c>
      <c r="E260" t="s">
        <v>6</v>
      </c>
      <c r="F260">
        <v>-5925336.8563005198</v>
      </c>
      <c r="G260">
        <v>-5.1769075689083497</v>
      </c>
    </row>
    <row r="261" spans="2:7" x14ac:dyDescent="0.2">
      <c r="B261">
        <v>17</v>
      </c>
      <c r="C261" t="s">
        <v>46</v>
      </c>
      <c r="D261">
        <v>0.69729109437981196</v>
      </c>
      <c r="E261" t="s">
        <v>7</v>
      </c>
      <c r="F261">
        <v>-6880290.4584812503</v>
      </c>
      <c r="G261">
        <v>-5.7869431851559501</v>
      </c>
    </row>
    <row r="262" spans="2:7" x14ac:dyDescent="0.2">
      <c r="B262">
        <v>17</v>
      </c>
      <c r="C262" t="s">
        <v>46</v>
      </c>
      <c r="D262">
        <v>0.69729109437981196</v>
      </c>
      <c r="E262" t="s">
        <v>8</v>
      </c>
      <c r="F262">
        <v>-12662508.411967199</v>
      </c>
      <c r="G262">
        <v>-3.3988603849285401</v>
      </c>
    </row>
    <row r="263" spans="2:7" x14ac:dyDescent="0.2">
      <c r="B263">
        <v>17</v>
      </c>
      <c r="C263" t="s">
        <v>46</v>
      </c>
      <c r="D263">
        <v>0.69729109437981196</v>
      </c>
      <c r="E263" t="s">
        <v>9</v>
      </c>
      <c r="F263">
        <v>3466854.17828192</v>
      </c>
      <c r="G263">
        <v>3.0116062353504902</v>
      </c>
    </row>
    <row r="264" spans="2:7" x14ac:dyDescent="0.2">
      <c r="B264">
        <v>17</v>
      </c>
      <c r="C264" t="s">
        <v>46</v>
      </c>
      <c r="D264">
        <v>0.69729109437981196</v>
      </c>
      <c r="E264" t="s">
        <v>10</v>
      </c>
      <c r="F264">
        <v>22788649.153468199</v>
      </c>
      <c r="G264">
        <v>3.9297207135889698</v>
      </c>
    </row>
    <row r="265" spans="2:7" x14ac:dyDescent="0.2">
      <c r="B265">
        <v>17</v>
      </c>
      <c r="C265" t="s">
        <v>46</v>
      </c>
      <c r="D265">
        <v>0.69729109437981196</v>
      </c>
      <c r="E265" t="s">
        <v>11</v>
      </c>
      <c r="F265">
        <v>-652813.58236462995</v>
      </c>
      <c r="G265">
        <v>-0.85491170407068895</v>
      </c>
    </row>
    <row r="266" spans="2:7" x14ac:dyDescent="0.2">
      <c r="B266">
        <v>17</v>
      </c>
      <c r="C266" t="s">
        <v>46</v>
      </c>
      <c r="D266">
        <v>0.69729109437981196</v>
      </c>
      <c r="E266" t="s">
        <v>12</v>
      </c>
      <c r="F266">
        <v>-22119811.216383699</v>
      </c>
      <c r="G266">
        <v>-1.9016943131333</v>
      </c>
    </row>
    <row r="267" spans="2:7" x14ac:dyDescent="0.2">
      <c r="B267">
        <v>17</v>
      </c>
      <c r="C267" t="s">
        <v>46</v>
      </c>
      <c r="D267">
        <v>0.69729109437981196</v>
      </c>
      <c r="E267" t="s">
        <v>13</v>
      </c>
      <c r="F267">
        <v>1347097.1723374</v>
      </c>
      <c r="G267">
        <v>0.58385071449110504</v>
      </c>
    </row>
    <row r="268" spans="2:7" x14ac:dyDescent="0.2">
      <c r="B268">
        <v>17</v>
      </c>
      <c r="C268" t="s">
        <v>46</v>
      </c>
      <c r="D268">
        <v>0.69729109437981196</v>
      </c>
      <c r="E268" t="s">
        <v>14</v>
      </c>
      <c r="F268">
        <v>-59712.1979734735</v>
      </c>
    </row>
    <row r="269" spans="2:7" x14ac:dyDescent="0.2">
      <c r="B269">
        <v>17</v>
      </c>
      <c r="C269" t="s">
        <v>46</v>
      </c>
      <c r="D269">
        <v>0.69729109437981196</v>
      </c>
      <c r="E269" t="s">
        <v>15</v>
      </c>
      <c r="F269">
        <v>59712.1979735231</v>
      </c>
    </row>
    <row r="270" spans="2:7" x14ac:dyDescent="0.2">
      <c r="B270">
        <v>17</v>
      </c>
      <c r="C270" t="s">
        <v>46</v>
      </c>
      <c r="D270">
        <v>0.69729109437981196</v>
      </c>
      <c r="E270" t="s">
        <v>16</v>
      </c>
      <c r="F270">
        <v>31721.9509820235</v>
      </c>
    </row>
    <row r="271" spans="2:7" x14ac:dyDescent="0.2">
      <c r="B271">
        <v>17</v>
      </c>
      <c r="C271" t="s">
        <v>46</v>
      </c>
      <c r="D271">
        <v>0.69729109437981196</v>
      </c>
      <c r="E271" t="s">
        <v>17</v>
      </c>
      <c r="F271">
        <v>380818.06643439998</v>
      </c>
    </row>
    <row r="272" spans="2:7" x14ac:dyDescent="0.2">
      <c r="B272">
        <v>17</v>
      </c>
      <c r="C272" t="s">
        <v>46</v>
      </c>
      <c r="D272">
        <v>0.69729109437981196</v>
      </c>
      <c r="E272" t="s">
        <v>18</v>
      </c>
      <c r="F272">
        <v>-412540.01741654699</v>
      </c>
    </row>
    <row r="273" spans="2:7" x14ac:dyDescent="0.2">
      <c r="B273">
        <v>17</v>
      </c>
      <c r="C273" t="s">
        <v>46</v>
      </c>
      <c r="D273">
        <v>0.69729109437981196</v>
      </c>
      <c r="E273" t="s">
        <v>47</v>
      </c>
      <c r="F273">
        <v>65151889.103643298</v>
      </c>
    </row>
    <row r="274" spans="2:7" x14ac:dyDescent="0.2">
      <c r="B274">
        <v>18</v>
      </c>
      <c r="C274" t="s">
        <v>31</v>
      </c>
      <c r="D274">
        <v>0.89675001599201098</v>
      </c>
      <c r="E274" t="s">
        <v>3</v>
      </c>
      <c r="F274">
        <v>-3.9479778886452203E-2</v>
      </c>
      <c r="G274">
        <v>-18.384207422572899</v>
      </c>
    </row>
    <row r="275" spans="2:7" x14ac:dyDescent="0.2">
      <c r="B275">
        <v>18</v>
      </c>
      <c r="C275" t="s">
        <v>31</v>
      </c>
      <c r="D275">
        <v>0.89675001599201098</v>
      </c>
      <c r="E275" t="s">
        <v>5</v>
      </c>
      <c r="F275">
        <v>4.4512144846000697E-2</v>
      </c>
      <c r="G275">
        <v>21.036310725998099</v>
      </c>
    </row>
    <row r="276" spans="2:7" x14ac:dyDescent="0.2">
      <c r="B276">
        <v>18</v>
      </c>
      <c r="C276" t="s">
        <v>31</v>
      </c>
      <c r="D276">
        <v>0.89675001599201098</v>
      </c>
      <c r="E276" t="s">
        <v>6</v>
      </c>
      <c r="F276">
        <v>2.42231858236935E-4</v>
      </c>
      <c r="G276">
        <v>0.114803223516093</v>
      </c>
    </row>
    <row r="277" spans="2:7" x14ac:dyDescent="0.2">
      <c r="B277">
        <v>18</v>
      </c>
      <c r="C277" t="s">
        <v>31</v>
      </c>
      <c r="D277">
        <v>0.89675001599201098</v>
      </c>
      <c r="E277" t="s">
        <v>7</v>
      </c>
      <c r="F277">
        <v>3.8787013194301798E-3</v>
      </c>
      <c r="G277">
        <v>1.76967795000243</v>
      </c>
    </row>
    <row r="278" spans="2:7" x14ac:dyDescent="0.2">
      <c r="B278">
        <v>18</v>
      </c>
      <c r="C278" t="s">
        <v>31</v>
      </c>
      <c r="D278">
        <v>0.89675001599201098</v>
      </c>
      <c r="E278" t="s">
        <v>8</v>
      </c>
      <c r="F278">
        <v>-4.5932190877590699E-3</v>
      </c>
      <c r="G278">
        <v>-0.66879989376598503</v>
      </c>
    </row>
    <row r="279" spans="2:7" x14ac:dyDescent="0.2">
      <c r="B279">
        <v>18</v>
      </c>
      <c r="C279" t="s">
        <v>31</v>
      </c>
      <c r="D279">
        <v>0.89675001599201098</v>
      </c>
      <c r="E279" t="s">
        <v>9</v>
      </c>
      <c r="F279">
        <v>-1.3244271865082301E-3</v>
      </c>
      <c r="G279">
        <v>-0.62410283542321099</v>
      </c>
    </row>
    <row r="280" spans="2:7" x14ac:dyDescent="0.2">
      <c r="B280">
        <v>18</v>
      </c>
      <c r="C280" t="s">
        <v>31</v>
      </c>
      <c r="D280">
        <v>0.89675001599201098</v>
      </c>
      <c r="E280" t="s">
        <v>10</v>
      </c>
      <c r="F280">
        <v>-1.9587167069996601E-2</v>
      </c>
      <c r="G280">
        <v>-1.83223083412941</v>
      </c>
    </row>
    <row r="281" spans="2:7" x14ac:dyDescent="0.2">
      <c r="B281">
        <v>18</v>
      </c>
      <c r="C281" t="s">
        <v>31</v>
      </c>
      <c r="D281">
        <v>0.89675001599201098</v>
      </c>
      <c r="E281" t="s">
        <v>11</v>
      </c>
      <c r="F281">
        <v>-2.6609607566569098E-3</v>
      </c>
      <c r="G281">
        <v>-1.89032294868578</v>
      </c>
    </row>
    <row r="282" spans="2:7" x14ac:dyDescent="0.2">
      <c r="B282">
        <v>18</v>
      </c>
      <c r="C282" t="s">
        <v>31</v>
      </c>
      <c r="D282">
        <v>0.89675001599201098</v>
      </c>
      <c r="E282" t="s">
        <v>12</v>
      </c>
      <c r="F282">
        <v>-3.1106464865623602E-3</v>
      </c>
      <c r="G282">
        <v>-0.145069263295342</v>
      </c>
    </row>
    <row r="283" spans="2:7" x14ac:dyDescent="0.2">
      <c r="B283">
        <v>18</v>
      </c>
      <c r="C283" t="s">
        <v>31</v>
      </c>
      <c r="D283">
        <v>0.89675001599201098</v>
      </c>
      <c r="E283" t="s">
        <v>13</v>
      </c>
      <c r="F283">
        <v>1.2418041107324499E-3</v>
      </c>
      <c r="G283">
        <v>0.29195871305342302</v>
      </c>
    </row>
    <row r="284" spans="2:7" x14ac:dyDescent="0.2">
      <c r="B284">
        <v>18</v>
      </c>
      <c r="C284" t="s">
        <v>31</v>
      </c>
      <c r="D284">
        <v>0.89675001599201098</v>
      </c>
      <c r="E284" t="s">
        <v>14</v>
      </c>
      <c r="F284">
        <v>1.11448693435222E-3</v>
      </c>
    </row>
    <row r="285" spans="2:7" x14ac:dyDescent="0.2">
      <c r="B285">
        <v>18</v>
      </c>
      <c r="C285" t="s">
        <v>31</v>
      </c>
      <c r="D285">
        <v>0.89675001599201098</v>
      </c>
      <c r="E285" t="s">
        <v>15</v>
      </c>
      <c r="F285">
        <v>-1.11448693435222E-3</v>
      </c>
    </row>
    <row r="286" spans="2:7" x14ac:dyDescent="0.2">
      <c r="B286">
        <v>18</v>
      </c>
      <c r="C286" t="s">
        <v>31</v>
      </c>
      <c r="D286">
        <v>0.89675001599201098</v>
      </c>
      <c r="E286" t="s">
        <v>16</v>
      </c>
      <c r="F286">
        <v>-4.6173149157666398E-4</v>
      </c>
    </row>
    <row r="287" spans="2:7" x14ac:dyDescent="0.2">
      <c r="B287">
        <v>18</v>
      </c>
      <c r="C287" t="s">
        <v>31</v>
      </c>
      <c r="D287">
        <v>0.89675001599201098</v>
      </c>
      <c r="E287" t="s">
        <v>17</v>
      </c>
      <c r="F287">
        <v>-7.2702061012343202E-4</v>
      </c>
    </row>
    <row r="288" spans="2:7" x14ac:dyDescent="0.2">
      <c r="B288">
        <v>18</v>
      </c>
      <c r="C288" t="s">
        <v>31</v>
      </c>
      <c r="D288">
        <v>0.89675001599201098</v>
      </c>
      <c r="E288" t="s">
        <v>18</v>
      </c>
      <c r="F288">
        <v>1.1887521017000799E-3</v>
      </c>
    </row>
    <row r="289" spans="2:7" x14ac:dyDescent="0.2">
      <c r="B289">
        <v>18</v>
      </c>
      <c r="C289" t="s">
        <v>31</v>
      </c>
      <c r="D289">
        <v>0.89675001599201098</v>
      </c>
      <c r="E289" t="s">
        <v>47</v>
      </c>
      <c r="F289">
        <v>0.63030742932600603</v>
      </c>
    </row>
    <row r="290" spans="2:7" x14ac:dyDescent="0.2">
      <c r="B290">
        <v>19</v>
      </c>
      <c r="C290" t="s">
        <v>30</v>
      </c>
      <c r="D290">
        <v>0.70762568764049305</v>
      </c>
      <c r="E290" t="s">
        <v>3</v>
      </c>
      <c r="F290">
        <v>-1.4333256659892799E-2</v>
      </c>
      <c r="G290">
        <v>-6.9071658317933098</v>
      </c>
    </row>
    <row r="291" spans="2:7" x14ac:dyDescent="0.2">
      <c r="B291">
        <v>19</v>
      </c>
      <c r="C291" t="s">
        <v>30</v>
      </c>
      <c r="D291">
        <v>0.70762568764049305</v>
      </c>
      <c r="E291" t="s">
        <v>5</v>
      </c>
      <c r="F291">
        <v>2.6312105155016301E-2</v>
      </c>
      <c r="G291">
        <v>12.8686046088413</v>
      </c>
    </row>
    <row r="292" spans="2:7" x14ac:dyDescent="0.2">
      <c r="B292">
        <v>19</v>
      </c>
      <c r="C292" t="s">
        <v>30</v>
      </c>
      <c r="D292">
        <v>0.70762568764049305</v>
      </c>
      <c r="E292" t="s">
        <v>6</v>
      </c>
      <c r="F292">
        <v>-1.66031184388937E-4</v>
      </c>
      <c r="G292">
        <v>-8.1432411012454298E-2</v>
      </c>
    </row>
    <row r="293" spans="2:7" x14ac:dyDescent="0.2">
      <c r="B293">
        <v>19</v>
      </c>
      <c r="C293" t="s">
        <v>30</v>
      </c>
      <c r="D293">
        <v>0.70762568764049305</v>
      </c>
      <c r="E293" t="s">
        <v>7</v>
      </c>
      <c r="F293">
        <v>-1.9354810962776602E-5</v>
      </c>
      <c r="G293">
        <v>-9.1386415118999993E-3</v>
      </c>
    </row>
    <row r="294" spans="2:7" x14ac:dyDescent="0.2">
      <c r="B294">
        <v>19</v>
      </c>
      <c r="C294" t="s">
        <v>30</v>
      </c>
      <c r="D294">
        <v>0.70762568764049305</v>
      </c>
      <c r="E294" t="s">
        <v>8</v>
      </c>
      <c r="F294">
        <v>-2.1671777352219898E-3</v>
      </c>
      <c r="G294">
        <v>-0.32655652834225901</v>
      </c>
    </row>
    <row r="295" spans="2:7" x14ac:dyDescent="0.2">
      <c r="B295">
        <v>19</v>
      </c>
      <c r="C295" t="s">
        <v>30</v>
      </c>
      <c r="D295">
        <v>0.70762568764049305</v>
      </c>
      <c r="E295" t="s">
        <v>9</v>
      </c>
      <c r="F295">
        <v>1.5853034345981701E-3</v>
      </c>
      <c r="G295">
        <v>0.77308148970048196</v>
      </c>
    </row>
    <row r="296" spans="2:7" x14ac:dyDescent="0.2">
      <c r="B296">
        <v>19</v>
      </c>
      <c r="C296" t="s">
        <v>30</v>
      </c>
      <c r="D296">
        <v>0.70762568764049305</v>
      </c>
      <c r="E296" t="s">
        <v>10</v>
      </c>
      <c r="F296">
        <v>-7.8243992091791299E-3</v>
      </c>
      <c r="G296">
        <v>-0.75743324987267002</v>
      </c>
    </row>
    <row r="297" spans="2:7" x14ac:dyDescent="0.2">
      <c r="B297">
        <v>19</v>
      </c>
      <c r="C297" t="s">
        <v>30</v>
      </c>
      <c r="D297">
        <v>0.70762568764049305</v>
      </c>
      <c r="E297" t="s">
        <v>11</v>
      </c>
      <c r="F297">
        <v>-1.20819513861735E-3</v>
      </c>
      <c r="G297">
        <v>-0.88821770654820598</v>
      </c>
    </row>
    <row r="298" spans="2:7" x14ac:dyDescent="0.2">
      <c r="B298">
        <v>19</v>
      </c>
      <c r="C298" t="s">
        <v>30</v>
      </c>
      <c r="D298">
        <v>0.70762568764049305</v>
      </c>
      <c r="E298" t="s">
        <v>12</v>
      </c>
      <c r="F298">
        <v>-2.92166311245903E-2</v>
      </c>
      <c r="G298">
        <v>-1.4100668108354999</v>
      </c>
    </row>
    <row r="299" spans="2:7" x14ac:dyDescent="0.2">
      <c r="B299">
        <v>19</v>
      </c>
      <c r="C299" t="s">
        <v>30</v>
      </c>
      <c r="D299">
        <v>0.70762568764049305</v>
      </c>
      <c r="E299" t="s">
        <v>13</v>
      </c>
      <c r="F299">
        <v>-2.68927706159645E-4</v>
      </c>
      <c r="G299">
        <v>-6.5431774818855107E-2</v>
      </c>
    </row>
    <row r="300" spans="2:7" x14ac:dyDescent="0.2">
      <c r="B300">
        <v>19</v>
      </c>
      <c r="C300" t="s">
        <v>30</v>
      </c>
      <c r="D300">
        <v>0.70762568764049305</v>
      </c>
      <c r="E300" t="s">
        <v>14</v>
      </c>
      <c r="F300">
        <v>8.23377798441035E-4</v>
      </c>
    </row>
    <row r="301" spans="2:7" x14ac:dyDescent="0.2">
      <c r="B301">
        <v>19</v>
      </c>
      <c r="C301" t="s">
        <v>30</v>
      </c>
      <c r="D301">
        <v>0.70762568764049305</v>
      </c>
      <c r="E301" t="s">
        <v>15</v>
      </c>
      <c r="F301">
        <v>-8.2337779844099802E-4</v>
      </c>
    </row>
    <row r="302" spans="2:7" x14ac:dyDescent="0.2">
      <c r="B302">
        <v>19</v>
      </c>
      <c r="C302" t="s">
        <v>30</v>
      </c>
      <c r="D302">
        <v>0.70762568764049305</v>
      </c>
      <c r="E302" t="s">
        <v>16</v>
      </c>
      <c r="F302">
        <v>-7.9526198406253904E-4</v>
      </c>
    </row>
    <row r="303" spans="2:7" x14ac:dyDescent="0.2">
      <c r="B303">
        <v>19</v>
      </c>
      <c r="C303" t="s">
        <v>30</v>
      </c>
      <c r="D303">
        <v>0.70762568764049305</v>
      </c>
      <c r="E303" t="s">
        <v>17</v>
      </c>
      <c r="F303">
        <v>-4.54077648365316E-5</v>
      </c>
    </row>
    <row r="304" spans="2:7" x14ac:dyDescent="0.2">
      <c r="B304">
        <v>19</v>
      </c>
      <c r="C304" t="s">
        <v>30</v>
      </c>
      <c r="D304">
        <v>0.70762568764049305</v>
      </c>
      <c r="E304" t="s">
        <v>18</v>
      </c>
      <c r="F304">
        <v>8.4066974889895896E-4</v>
      </c>
    </row>
    <row r="305" spans="2:7" x14ac:dyDescent="0.2">
      <c r="B305">
        <v>19</v>
      </c>
      <c r="C305" t="s">
        <v>30</v>
      </c>
      <c r="D305">
        <v>0.70762568764049305</v>
      </c>
      <c r="E305" t="s">
        <v>47</v>
      </c>
      <c r="F305">
        <v>0.39491283341878203</v>
      </c>
    </row>
    <row r="306" spans="2:7" x14ac:dyDescent="0.2">
      <c r="B306">
        <v>20</v>
      </c>
      <c r="C306" t="s">
        <v>34</v>
      </c>
      <c r="D306">
        <v>0.87286688727523498</v>
      </c>
      <c r="E306" t="s">
        <v>3</v>
      </c>
      <c r="F306">
        <v>-2.7663347919435699</v>
      </c>
      <c r="G306">
        <v>-7.5899207182687496</v>
      </c>
    </row>
    <row r="307" spans="2:7" x14ac:dyDescent="0.2">
      <c r="B307">
        <v>20</v>
      </c>
      <c r="C307" t="s">
        <v>34</v>
      </c>
      <c r="D307">
        <v>0.87286688727523498</v>
      </c>
      <c r="E307" t="s">
        <v>5</v>
      </c>
      <c r="F307">
        <v>-0.78726053746122704</v>
      </c>
      <c r="G307">
        <v>-2.1921579296186202</v>
      </c>
    </row>
    <row r="308" spans="2:7" x14ac:dyDescent="0.2">
      <c r="B308">
        <v>20</v>
      </c>
      <c r="C308" t="s">
        <v>34</v>
      </c>
      <c r="D308">
        <v>0.87286688727523498</v>
      </c>
      <c r="E308" t="s">
        <v>6</v>
      </c>
      <c r="F308">
        <v>8.4061673025867005</v>
      </c>
      <c r="G308">
        <v>23.473786590900499</v>
      </c>
    </row>
    <row r="309" spans="2:7" x14ac:dyDescent="0.2">
      <c r="B309">
        <v>20</v>
      </c>
      <c r="C309" t="s">
        <v>34</v>
      </c>
      <c r="D309">
        <v>0.87286688727523498</v>
      </c>
      <c r="E309" t="s">
        <v>7</v>
      </c>
      <c r="F309">
        <v>-0.54300610939625404</v>
      </c>
      <c r="G309">
        <v>-1.45973801597164</v>
      </c>
    </row>
    <row r="310" spans="2:7" x14ac:dyDescent="0.2">
      <c r="B310">
        <v>20</v>
      </c>
      <c r="C310" t="s">
        <v>34</v>
      </c>
      <c r="D310">
        <v>0.87286688727523498</v>
      </c>
      <c r="E310" t="s">
        <v>8</v>
      </c>
      <c r="F310">
        <v>3.98302155041906</v>
      </c>
      <c r="G310">
        <v>3.4170709126932399</v>
      </c>
    </row>
    <row r="311" spans="2:7" x14ac:dyDescent="0.2">
      <c r="B311">
        <v>20</v>
      </c>
      <c r="C311" t="s">
        <v>34</v>
      </c>
      <c r="D311">
        <v>0.87286688727523498</v>
      </c>
      <c r="E311" t="s">
        <v>9</v>
      </c>
      <c r="F311">
        <v>0.33806588286278</v>
      </c>
      <c r="G311">
        <v>0.93862412869119105</v>
      </c>
    </row>
    <row r="312" spans="2:7" x14ac:dyDescent="0.2">
      <c r="B312">
        <v>20</v>
      </c>
      <c r="C312" t="s">
        <v>34</v>
      </c>
      <c r="D312">
        <v>0.87286688727523498</v>
      </c>
      <c r="E312" t="s">
        <v>10</v>
      </c>
      <c r="F312">
        <v>-0.38945569337907698</v>
      </c>
      <c r="G312">
        <v>-0.21464902383442899</v>
      </c>
    </row>
    <row r="313" spans="2:7" x14ac:dyDescent="0.2">
      <c r="B313">
        <v>20</v>
      </c>
      <c r="C313" t="s">
        <v>34</v>
      </c>
      <c r="D313">
        <v>0.87286688727523498</v>
      </c>
      <c r="E313" t="s">
        <v>11</v>
      </c>
      <c r="F313">
        <v>0.38977611541649698</v>
      </c>
      <c r="G313">
        <v>1.6314548560140201</v>
      </c>
    </row>
    <row r="314" spans="2:7" x14ac:dyDescent="0.2">
      <c r="B314">
        <v>20</v>
      </c>
      <c r="C314" t="s">
        <v>34</v>
      </c>
      <c r="D314">
        <v>0.87286688727523498</v>
      </c>
      <c r="E314" t="s">
        <v>12</v>
      </c>
      <c r="F314">
        <v>3.5117378453628598</v>
      </c>
      <c r="G314">
        <v>0.96495961183288104</v>
      </c>
    </row>
    <row r="315" spans="2:7" x14ac:dyDescent="0.2">
      <c r="B315">
        <v>20</v>
      </c>
      <c r="C315" t="s">
        <v>34</v>
      </c>
      <c r="D315">
        <v>0.87286688727523498</v>
      </c>
      <c r="E315" t="s">
        <v>13</v>
      </c>
      <c r="F315">
        <v>-0.582741963223531</v>
      </c>
      <c r="G315">
        <v>-0.80724793192228395</v>
      </c>
    </row>
    <row r="316" spans="2:7" x14ac:dyDescent="0.2">
      <c r="B316">
        <v>20</v>
      </c>
      <c r="C316" t="s">
        <v>34</v>
      </c>
      <c r="D316">
        <v>0.87286688727523498</v>
      </c>
      <c r="E316" t="s">
        <v>14</v>
      </c>
      <c r="F316">
        <v>-6.2532121878019806E-2</v>
      </c>
    </row>
    <row r="317" spans="2:7" x14ac:dyDescent="0.2">
      <c r="B317">
        <v>20</v>
      </c>
      <c r="C317" t="s">
        <v>34</v>
      </c>
      <c r="D317">
        <v>0.87286688727523498</v>
      </c>
      <c r="E317" t="s">
        <v>15</v>
      </c>
      <c r="F317">
        <v>6.2532121878009994E-2</v>
      </c>
    </row>
    <row r="318" spans="2:7" x14ac:dyDescent="0.2">
      <c r="B318">
        <v>20</v>
      </c>
      <c r="C318" t="s">
        <v>34</v>
      </c>
      <c r="D318">
        <v>0.87286688727523498</v>
      </c>
      <c r="E318" t="s">
        <v>16</v>
      </c>
      <c r="F318">
        <v>0.232432430295269</v>
      </c>
    </row>
    <row r="319" spans="2:7" x14ac:dyDescent="0.2">
      <c r="B319">
        <v>20</v>
      </c>
      <c r="C319" t="s">
        <v>34</v>
      </c>
      <c r="D319">
        <v>0.87286688727523498</v>
      </c>
      <c r="E319" t="s">
        <v>17</v>
      </c>
      <c r="F319">
        <v>-0.43270380318787899</v>
      </c>
    </row>
    <row r="320" spans="2:7" x14ac:dyDescent="0.2">
      <c r="B320">
        <v>20</v>
      </c>
      <c r="C320" t="s">
        <v>34</v>
      </c>
      <c r="D320">
        <v>0.87286688727523498</v>
      </c>
      <c r="E320" t="s">
        <v>18</v>
      </c>
      <c r="F320">
        <v>0.200271372892627</v>
      </c>
    </row>
    <row r="321" spans="2:7" x14ac:dyDescent="0.2">
      <c r="B321">
        <v>20</v>
      </c>
      <c r="C321" t="s">
        <v>34</v>
      </c>
      <c r="D321">
        <v>0.87286688727523498</v>
      </c>
      <c r="E321" t="s">
        <v>47</v>
      </c>
      <c r="F321">
        <v>37.297785936452698</v>
      </c>
    </row>
    <row r="322" spans="2:7" x14ac:dyDescent="0.2">
      <c r="B322">
        <v>21</v>
      </c>
      <c r="C322" t="s">
        <v>25</v>
      </c>
      <c r="D322">
        <v>0.70346403564149995</v>
      </c>
      <c r="E322" t="s">
        <v>3</v>
      </c>
      <c r="F322">
        <v>162196.14194969201</v>
      </c>
      <c r="G322">
        <v>10.364612832109099</v>
      </c>
    </row>
    <row r="323" spans="2:7" x14ac:dyDescent="0.2">
      <c r="B323">
        <v>21</v>
      </c>
      <c r="C323" t="s">
        <v>25</v>
      </c>
      <c r="D323">
        <v>0.70346403564149995</v>
      </c>
      <c r="E323" t="s">
        <v>5</v>
      </c>
      <c r="F323">
        <v>14203.743559611299</v>
      </c>
      <c r="G323">
        <v>0.92116248493873798</v>
      </c>
    </row>
    <row r="324" spans="2:7" x14ac:dyDescent="0.2">
      <c r="B324">
        <v>21</v>
      </c>
      <c r="C324" t="s">
        <v>25</v>
      </c>
      <c r="D324">
        <v>0.70346403564149995</v>
      </c>
      <c r="E324" t="s">
        <v>6</v>
      </c>
      <c r="F324">
        <v>-109683.071701851</v>
      </c>
      <c r="G324">
        <v>-7.1335349050125396</v>
      </c>
    </row>
    <row r="325" spans="2:7" x14ac:dyDescent="0.2">
      <c r="B325">
        <v>21</v>
      </c>
      <c r="C325" t="s">
        <v>25</v>
      </c>
      <c r="D325">
        <v>0.70346403564149995</v>
      </c>
      <c r="E325" t="s">
        <v>7</v>
      </c>
      <c r="F325">
        <v>35294.466491284897</v>
      </c>
      <c r="G325">
        <v>2.2098199376529499</v>
      </c>
    </row>
    <row r="326" spans="2:7" x14ac:dyDescent="0.2">
      <c r="B326">
        <v>21</v>
      </c>
      <c r="C326" t="s">
        <v>25</v>
      </c>
      <c r="D326">
        <v>0.70346403564149995</v>
      </c>
      <c r="E326" t="s">
        <v>8</v>
      </c>
      <c r="F326">
        <v>-190461.39225751499</v>
      </c>
      <c r="G326">
        <v>-3.8056456986771301</v>
      </c>
    </row>
    <row r="327" spans="2:7" x14ac:dyDescent="0.2">
      <c r="B327">
        <v>21</v>
      </c>
      <c r="C327" t="s">
        <v>25</v>
      </c>
      <c r="D327">
        <v>0.70346403564149995</v>
      </c>
      <c r="E327" t="s">
        <v>9</v>
      </c>
      <c r="F327">
        <v>46638.830709405403</v>
      </c>
      <c r="G327">
        <v>3.0159079818721999</v>
      </c>
    </row>
    <row r="328" spans="2:7" x14ac:dyDescent="0.2">
      <c r="B328">
        <v>21</v>
      </c>
      <c r="C328" t="s">
        <v>25</v>
      </c>
      <c r="D328">
        <v>0.70346403564149995</v>
      </c>
      <c r="E328" t="s">
        <v>10</v>
      </c>
      <c r="F328">
        <v>315593.77745206398</v>
      </c>
      <c r="G328">
        <v>4.0511596256689399</v>
      </c>
    </row>
    <row r="329" spans="2:7" x14ac:dyDescent="0.2">
      <c r="B329">
        <v>21</v>
      </c>
      <c r="C329" t="s">
        <v>25</v>
      </c>
      <c r="D329">
        <v>0.70346403564149995</v>
      </c>
      <c r="E329" t="s">
        <v>11</v>
      </c>
      <c r="F329">
        <v>-8251.4812653556801</v>
      </c>
      <c r="G329">
        <v>-0.80439955064150903</v>
      </c>
    </row>
    <row r="330" spans="2:7" x14ac:dyDescent="0.2">
      <c r="B330">
        <v>21</v>
      </c>
      <c r="C330" t="s">
        <v>25</v>
      </c>
      <c r="D330">
        <v>0.70346403564149995</v>
      </c>
      <c r="E330" t="s">
        <v>12</v>
      </c>
      <c r="F330">
        <v>-283305.71940357803</v>
      </c>
      <c r="G330">
        <v>-1.81310290665025</v>
      </c>
    </row>
    <row r="331" spans="2:7" x14ac:dyDescent="0.2">
      <c r="B331">
        <v>21</v>
      </c>
      <c r="C331" t="s">
        <v>25</v>
      </c>
      <c r="D331">
        <v>0.70346403564149995</v>
      </c>
      <c r="E331" t="s">
        <v>13</v>
      </c>
      <c r="F331">
        <v>15924.2875967864</v>
      </c>
      <c r="G331">
        <v>0.51377234571833796</v>
      </c>
    </row>
    <row r="332" spans="2:7" x14ac:dyDescent="0.2">
      <c r="B332">
        <v>21</v>
      </c>
      <c r="C332" t="s">
        <v>25</v>
      </c>
      <c r="D332">
        <v>0.70346403564149995</v>
      </c>
      <c r="E332" t="s">
        <v>14</v>
      </c>
      <c r="F332">
        <v>-786.09795174880003</v>
      </c>
    </row>
    <row r="333" spans="2:7" x14ac:dyDescent="0.2">
      <c r="B333">
        <v>21</v>
      </c>
      <c r="C333" t="s">
        <v>25</v>
      </c>
      <c r="D333">
        <v>0.70346403564149995</v>
      </c>
      <c r="E333" t="s">
        <v>15</v>
      </c>
      <c r="F333">
        <v>786.09795174942599</v>
      </c>
    </row>
    <row r="334" spans="2:7" x14ac:dyDescent="0.2">
      <c r="B334">
        <v>21</v>
      </c>
      <c r="C334" t="s">
        <v>25</v>
      </c>
      <c r="D334">
        <v>0.70346403564149995</v>
      </c>
      <c r="E334" t="s">
        <v>16</v>
      </c>
      <c r="F334">
        <v>703.13359024804504</v>
      </c>
    </row>
    <row r="335" spans="2:7" x14ac:dyDescent="0.2">
      <c r="B335">
        <v>21</v>
      </c>
      <c r="C335" t="s">
        <v>25</v>
      </c>
      <c r="D335">
        <v>0.70346403564149995</v>
      </c>
      <c r="E335" t="s">
        <v>17</v>
      </c>
      <c r="F335">
        <v>2748.2560381993699</v>
      </c>
    </row>
    <row r="336" spans="2:7" x14ac:dyDescent="0.2">
      <c r="B336">
        <v>21</v>
      </c>
      <c r="C336" t="s">
        <v>25</v>
      </c>
      <c r="D336">
        <v>0.70346403564149995</v>
      </c>
      <c r="E336" t="s">
        <v>18</v>
      </c>
      <c r="F336">
        <v>-3451.3896284489401</v>
      </c>
    </row>
    <row r="337" spans="2:7" x14ac:dyDescent="0.2">
      <c r="B337">
        <v>21</v>
      </c>
      <c r="C337" t="s">
        <v>25</v>
      </c>
      <c r="D337">
        <v>0.70346403564149995</v>
      </c>
      <c r="E337" t="s">
        <v>47</v>
      </c>
      <c r="F337">
        <v>620152.78012251796</v>
      </c>
    </row>
    <row r="338" spans="2:7" x14ac:dyDescent="0.2">
      <c r="B338">
        <v>22</v>
      </c>
      <c r="C338" t="s">
        <v>26</v>
      </c>
      <c r="D338">
        <v>0.51448959847949804</v>
      </c>
      <c r="E338" t="s">
        <v>3</v>
      </c>
      <c r="F338">
        <v>-1.05651785805138E-2</v>
      </c>
      <c r="G338">
        <v>-0.89293236984264102</v>
      </c>
    </row>
    <row r="339" spans="2:7" x14ac:dyDescent="0.2">
      <c r="B339">
        <v>22</v>
      </c>
      <c r="C339" t="s">
        <v>26</v>
      </c>
      <c r="D339">
        <v>0.51448959847949804</v>
      </c>
      <c r="E339" t="s">
        <v>5</v>
      </c>
      <c r="F339">
        <v>4.56865148257409E-3</v>
      </c>
      <c r="G339">
        <v>0.39187775371500899</v>
      </c>
    </row>
    <row r="340" spans="2:7" x14ac:dyDescent="0.2">
      <c r="B340">
        <v>22</v>
      </c>
      <c r="C340" t="s">
        <v>26</v>
      </c>
      <c r="D340">
        <v>0.51448959847949804</v>
      </c>
      <c r="E340" t="s">
        <v>6</v>
      </c>
      <c r="F340">
        <v>-8.4070920377548999E-2</v>
      </c>
      <c r="G340">
        <v>-7.2316957907038404</v>
      </c>
    </row>
    <row r="341" spans="2:7" x14ac:dyDescent="0.2">
      <c r="B341">
        <v>22</v>
      </c>
      <c r="C341" t="s">
        <v>26</v>
      </c>
      <c r="D341">
        <v>0.51448959847949804</v>
      </c>
      <c r="E341" t="s">
        <v>7</v>
      </c>
      <c r="F341">
        <v>3.2453785164874703E-2</v>
      </c>
      <c r="G341">
        <v>2.6874771703642599</v>
      </c>
    </row>
    <row r="342" spans="2:7" x14ac:dyDescent="0.2">
      <c r="B342">
        <v>22</v>
      </c>
      <c r="C342" t="s">
        <v>26</v>
      </c>
      <c r="D342">
        <v>0.51448959847949804</v>
      </c>
      <c r="E342" t="s">
        <v>8</v>
      </c>
      <c r="F342">
        <v>-0.14949268860352399</v>
      </c>
      <c r="G342">
        <v>-3.9506677957786902</v>
      </c>
    </row>
    <row r="343" spans="2:7" x14ac:dyDescent="0.2">
      <c r="B343">
        <v>22</v>
      </c>
      <c r="C343" t="s">
        <v>26</v>
      </c>
      <c r="D343">
        <v>0.51448959847949804</v>
      </c>
      <c r="E343" t="s">
        <v>9</v>
      </c>
      <c r="F343">
        <v>3.5685110306952497E-2</v>
      </c>
      <c r="G343">
        <v>3.05201481411483</v>
      </c>
    </row>
    <row r="344" spans="2:7" x14ac:dyDescent="0.2">
      <c r="B344">
        <v>22</v>
      </c>
      <c r="C344" t="s">
        <v>26</v>
      </c>
      <c r="D344">
        <v>0.51448959847949804</v>
      </c>
      <c r="E344" t="s">
        <v>10</v>
      </c>
      <c r="F344">
        <v>0.24898597277974599</v>
      </c>
      <c r="G344">
        <v>4.2272211183525901</v>
      </c>
    </row>
    <row r="345" spans="2:7" x14ac:dyDescent="0.2">
      <c r="B345">
        <v>22</v>
      </c>
      <c r="C345" t="s">
        <v>26</v>
      </c>
      <c r="D345">
        <v>0.51448959847949804</v>
      </c>
      <c r="E345" t="s">
        <v>11</v>
      </c>
      <c r="F345">
        <v>-1.0292954700337901E-2</v>
      </c>
      <c r="G345">
        <v>-1.3271167282709</v>
      </c>
    </row>
    <row r="346" spans="2:7" x14ac:dyDescent="0.2">
      <c r="B346">
        <v>22</v>
      </c>
      <c r="C346" t="s">
        <v>26</v>
      </c>
      <c r="D346">
        <v>0.51448959847949804</v>
      </c>
      <c r="E346" t="s">
        <v>12</v>
      </c>
      <c r="F346">
        <v>-0.19265907066174701</v>
      </c>
      <c r="G346">
        <v>-1.63074379109635</v>
      </c>
    </row>
    <row r="347" spans="2:7" x14ac:dyDescent="0.2">
      <c r="B347">
        <v>22</v>
      </c>
      <c r="C347" t="s">
        <v>26</v>
      </c>
      <c r="D347">
        <v>0.51448959847949804</v>
      </c>
      <c r="E347" t="s">
        <v>13</v>
      </c>
      <c r="F347">
        <v>1.0998227584441E-2</v>
      </c>
      <c r="G347">
        <v>0.46931298955762102</v>
      </c>
    </row>
    <row r="348" spans="2:7" x14ac:dyDescent="0.2">
      <c r="B348">
        <v>22</v>
      </c>
      <c r="C348" t="s">
        <v>26</v>
      </c>
      <c r="D348">
        <v>0.51448959847949804</v>
      </c>
      <c r="E348" t="s">
        <v>14</v>
      </c>
      <c r="F348">
        <v>1.8659874878367399E-3</v>
      </c>
    </row>
    <row r="349" spans="2:7" x14ac:dyDescent="0.2">
      <c r="B349">
        <v>22</v>
      </c>
      <c r="C349" t="s">
        <v>26</v>
      </c>
      <c r="D349">
        <v>0.51448959847949804</v>
      </c>
      <c r="E349" t="s">
        <v>15</v>
      </c>
      <c r="F349">
        <v>-1.86598748783627E-3</v>
      </c>
    </row>
    <row r="350" spans="2:7" x14ac:dyDescent="0.2">
      <c r="B350">
        <v>22</v>
      </c>
      <c r="C350" t="s">
        <v>26</v>
      </c>
      <c r="D350">
        <v>0.51448959847949804</v>
      </c>
      <c r="E350" t="s">
        <v>16</v>
      </c>
      <c r="F350">
        <v>1.13671355336975E-4</v>
      </c>
    </row>
    <row r="351" spans="2:7" x14ac:dyDescent="0.2">
      <c r="B351">
        <v>22</v>
      </c>
      <c r="C351" t="s">
        <v>26</v>
      </c>
      <c r="D351">
        <v>0.51448959847949804</v>
      </c>
      <c r="E351" t="s">
        <v>17</v>
      </c>
      <c r="F351">
        <v>3.92955493415694E-4</v>
      </c>
    </row>
    <row r="352" spans="2:7" x14ac:dyDescent="0.2">
      <c r="B352">
        <v>22</v>
      </c>
      <c r="C352" t="s">
        <v>26</v>
      </c>
      <c r="D352">
        <v>0.51448959847949804</v>
      </c>
      <c r="E352" t="s">
        <v>18</v>
      </c>
      <c r="F352">
        <v>-5.0662684875383895E-4</v>
      </c>
    </row>
    <row r="353" spans="2:7" x14ac:dyDescent="0.2">
      <c r="B353">
        <v>22</v>
      </c>
      <c r="C353" t="s">
        <v>26</v>
      </c>
      <c r="D353">
        <v>0.51448959847949804</v>
      </c>
      <c r="E353" t="s">
        <v>47</v>
      </c>
      <c r="F353">
        <v>0.55710016055931399</v>
      </c>
    </row>
    <row r="354" spans="2:7" x14ac:dyDescent="0.2">
      <c r="B354">
        <v>23</v>
      </c>
      <c r="C354" t="s">
        <v>23</v>
      </c>
      <c r="D354">
        <v>0.66936032500292897</v>
      </c>
      <c r="E354" t="s">
        <v>3</v>
      </c>
      <c r="F354">
        <v>4805951.3500803998</v>
      </c>
      <c r="G354">
        <v>9.9667517666565999</v>
      </c>
    </row>
    <row r="355" spans="2:7" x14ac:dyDescent="0.2">
      <c r="B355">
        <v>23</v>
      </c>
      <c r="C355" t="s">
        <v>23</v>
      </c>
      <c r="D355">
        <v>0.66936032500292897</v>
      </c>
      <c r="E355" t="s">
        <v>5</v>
      </c>
      <c r="F355">
        <v>141618.55743420799</v>
      </c>
      <c r="G355">
        <v>0.29806795894749499</v>
      </c>
    </row>
    <row r="356" spans="2:7" x14ac:dyDescent="0.2">
      <c r="B356">
        <v>23</v>
      </c>
      <c r="C356" t="s">
        <v>23</v>
      </c>
      <c r="D356">
        <v>0.66936032500292897</v>
      </c>
      <c r="E356" t="s">
        <v>6</v>
      </c>
      <c r="F356">
        <v>863246.28895651898</v>
      </c>
      <c r="G356">
        <v>1.8220555513871599</v>
      </c>
    </row>
    <row r="357" spans="2:7" x14ac:dyDescent="0.2">
      <c r="B357">
        <v>23</v>
      </c>
      <c r="C357" t="s">
        <v>23</v>
      </c>
      <c r="D357">
        <v>0.66936032500292897</v>
      </c>
      <c r="E357" t="s">
        <v>7</v>
      </c>
      <c r="F357">
        <v>1089655.3810187399</v>
      </c>
      <c r="G357">
        <v>2.21411993173164</v>
      </c>
    </row>
    <row r="358" spans="2:7" x14ac:dyDescent="0.2">
      <c r="B358">
        <v>23</v>
      </c>
      <c r="C358" t="s">
        <v>23</v>
      </c>
      <c r="D358">
        <v>0.66936032500292897</v>
      </c>
      <c r="E358" t="s">
        <v>8</v>
      </c>
      <c r="F358">
        <v>-4893466.1853604801</v>
      </c>
      <c r="G358">
        <v>-3.17321645752068</v>
      </c>
    </row>
    <row r="359" spans="2:7" x14ac:dyDescent="0.2">
      <c r="B359">
        <v>23</v>
      </c>
      <c r="C359" t="s">
        <v>23</v>
      </c>
      <c r="D359">
        <v>0.66936032500292897</v>
      </c>
      <c r="E359" t="s">
        <v>9</v>
      </c>
      <c r="F359">
        <v>2165614.2697467199</v>
      </c>
      <c r="G359">
        <v>4.5447839764583202</v>
      </c>
    </row>
    <row r="360" spans="2:7" x14ac:dyDescent="0.2">
      <c r="B360">
        <v>23</v>
      </c>
      <c r="C360" t="s">
        <v>23</v>
      </c>
      <c r="D360">
        <v>0.66936032500292897</v>
      </c>
      <c r="E360" t="s">
        <v>10</v>
      </c>
      <c r="F360">
        <v>12340583.4128031</v>
      </c>
      <c r="G360">
        <v>5.1410085196404696</v>
      </c>
    </row>
    <row r="361" spans="2:7" x14ac:dyDescent="0.2">
      <c r="B361">
        <v>23</v>
      </c>
      <c r="C361" t="s">
        <v>23</v>
      </c>
      <c r="D361">
        <v>0.66936032500292897</v>
      </c>
      <c r="E361" t="s">
        <v>11</v>
      </c>
      <c r="F361">
        <v>-182342.95618137499</v>
      </c>
      <c r="G361">
        <v>-0.57688679805392196</v>
      </c>
    </row>
    <row r="362" spans="2:7" x14ac:dyDescent="0.2">
      <c r="B362">
        <v>23</v>
      </c>
      <c r="C362" t="s">
        <v>23</v>
      </c>
      <c r="D362">
        <v>0.66936032500292897</v>
      </c>
      <c r="E362" t="s">
        <v>12</v>
      </c>
      <c r="F362">
        <v>-8229059.7733821198</v>
      </c>
      <c r="G362">
        <v>-1.70914550213912</v>
      </c>
    </row>
    <row r="363" spans="2:7" x14ac:dyDescent="0.2">
      <c r="B363">
        <v>23</v>
      </c>
      <c r="C363" t="s">
        <v>23</v>
      </c>
      <c r="D363">
        <v>0.66936032500292897</v>
      </c>
      <c r="E363" t="s">
        <v>13</v>
      </c>
      <c r="F363">
        <v>491352.43680900201</v>
      </c>
      <c r="G363">
        <v>0.514476489970081</v>
      </c>
    </row>
    <row r="364" spans="2:7" x14ac:dyDescent="0.2">
      <c r="B364">
        <v>23</v>
      </c>
      <c r="C364" t="s">
        <v>23</v>
      </c>
      <c r="D364">
        <v>0.66936032500292897</v>
      </c>
      <c r="E364" t="s">
        <v>14</v>
      </c>
      <c r="F364">
        <v>-68556.262214090195</v>
      </c>
    </row>
    <row r="365" spans="2:7" x14ac:dyDescent="0.2">
      <c r="B365">
        <v>23</v>
      </c>
      <c r="C365" t="s">
        <v>23</v>
      </c>
      <c r="D365">
        <v>0.66936032500292897</v>
      </c>
      <c r="E365" t="s">
        <v>15</v>
      </c>
      <c r="F365">
        <v>68556.262214106901</v>
      </c>
    </row>
    <row r="366" spans="2:7" x14ac:dyDescent="0.2">
      <c r="B366">
        <v>23</v>
      </c>
      <c r="C366" t="s">
        <v>23</v>
      </c>
      <c r="D366">
        <v>0.66936032500292897</v>
      </c>
      <c r="E366" t="s">
        <v>16</v>
      </c>
      <c r="F366">
        <v>225753.38430182901</v>
      </c>
    </row>
    <row r="367" spans="2:7" x14ac:dyDescent="0.2">
      <c r="B367">
        <v>23</v>
      </c>
      <c r="C367" t="s">
        <v>23</v>
      </c>
      <c r="D367">
        <v>0.66936032500292897</v>
      </c>
      <c r="E367" t="s">
        <v>17</v>
      </c>
      <c r="F367">
        <v>-200251.15207222401</v>
      </c>
    </row>
    <row r="368" spans="2:7" x14ac:dyDescent="0.2">
      <c r="B368">
        <v>23</v>
      </c>
      <c r="C368" t="s">
        <v>23</v>
      </c>
      <c r="D368">
        <v>0.66936032500292897</v>
      </c>
      <c r="E368" t="s">
        <v>18</v>
      </c>
      <c r="F368">
        <v>-25502.2322296522</v>
      </c>
    </row>
    <row r="369" spans="2:7" x14ac:dyDescent="0.2">
      <c r="B369">
        <v>23</v>
      </c>
      <c r="C369" t="s">
        <v>23</v>
      </c>
      <c r="D369">
        <v>0.66936032500292897</v>
      </c>
      <c r="E369" t="s">
        <v>47</v>
      </c>
      <c r="F369">
        <v>22843903.849118501</v>
      </c>
    </row>
    <row r="370" spans="2:7" x14ac:dyDescent="0.2">
      <c r="B370">
        <v>24</v>
      </c>
      <c r="C370" t="s">
        <v>24</v>
      </c>
      <c r="D370">
        <v>0.565693496168168</v>
      </c>
      <c r="E370" t="s">
        <v>3</v>
      </c>
      <c r="F370">
        <v>-1.8815962034534699</v>
      </c>
      <c r="G370">
        <v>-5.1642611655080204</v>
      </c>
    </row>
    <row r="371" spans="2:7" x14ac:dyDescent="0.2">
      <c r="B371">
        <v>24</v>
      </c>
      <c r="C371" t="s">
        <v>24</v>
      </c>
      <c r="D371">
        <v>0.565693496168168</v>
      </c>
      <c r="E371" t="s">
        <v>5</v>
      </c>
      <c r="F371">
        <v>-0.12289206600133</v>
      </c>
      <c r="G371">
        <v>-0.34231542589738401</v>
      </c>
    </row>
    <row r="372" spans="2:7" x14ac:dyDescent="0.2">
      <c r="B372">
        <v>24</v>
      </c>
      <c r="C372" t="s">
        <v>24</v>
      </c>
      <c r="D372">
        <v>0.565693496168168</v>
      </c>
      <c r="E372" t="s">
        <v>6</v>
      </c>
      <c r="F372">
        <v>0.72760872313676295</v>
      </c>
      <c r="G372">
        <v>2.0325081150903102</v>
      </c>
    </row>
    <row r="373" spans="2:7" x14ac:dyDescent="0.2">
      <c r="B373">
        <v>24</v>
      </c>
      <c r="C373" t="s">
        <v>24</v>
      </c>
      <c r="D373">
        <v>0.565693496168168</v>
      </c>
      <c r="E373" t="s">
        <v>7</v>
      </c>
      <c r="F373">
        <v>1.0723942474546899</v>
      </c>
      <c r="G373">
        <v>2.8838584959167801</v>
      </c>
    </row>
    <row r="374" spans="2:7" x14ac:dyDescent="0.2">
      <c r="B374">
        <v>24</v>
      </c>
      <c r="C374" t="s">
        <v>24</v>
      </c>
      <c r="D374">
        <v>0.565693496168168</v>
      </c>
      <c r="E374" t="s">
        <v>8</v>
      </c>
      <c r="F374">
        <v>-4.0355829440891098</v>
      </c>
      <c r="G374">
        <v>-3.4633539789194101</v>
      </c>
    </row>
    <row r="375" spans="2:7" x14ac:dyDescent="0.2">
      <c r="B375">
        <v>24</v>
      </c>
      <c r="C375" t="s">
        <v>24</v>
      </c>
      <c r="D375">
        <v>0.565693496168168</v>
      </c>
      <c r="E375" t="s">
        <v>9</v>
      </c>
      <c r="F375">
        <v>1.6421749882107599</v>
      </c>
      <c r="G375">
        <v>4.5609894874335497</v>
      </c>
    </row>
    <row r="376" spans="2:7" x14ac:dyDescent="0.2">
      <c r="B376">
        <v>24</v>
      </c>
      <c r="C376" t="s">
        <v>24</v>
      </c>
      <c r="D376">
        <v>0.565693496168168</v>
      </c>
      <c r="E376" t="s">
        <v>10</v>
      </c>
      <c r="F376">
        <v>9.7471084400809502</v>
      </c>
      <c r="G376">
        <v>5.3739785289927404</v>
      </c>
    </row>
    <row r="377" spans="2:7" x14ac:dyDescent="0.2">
      <c r="B377">
        <v>24</v>
      </c>
      <c r="C377" t="s">
        <v>24</v>
      </c>
      <c r="D377">
        <v>0.565693496168168</v>
      </c>
      <c r="E377" t="s">
        <v>11</v>
      </c>
      <c r="F377">
        <v>-0.30814881330381799</v>
      </c>
      <c r="G377">
        <v>-1.29023733870291</v>
      </c>
    </row>
    <row r="378" spans="2:7" x14ac:dyDescent="0.2">
      <c r="B378">
        <v>24</v>
      </c>
      <c r="C378" t="s">
        <v>24</v>
      </c>
      <c r="D378">
        <v>0.565693496168168</v>
      </c>
      <c r="E378" t="s">
        <v>12</v>
      </c>
      <c r="F378">
        <v>-5.5298364660247703</v>
      </c>
      <c r="G378">
        <v>-1.5200175596765499</v>
      </c>
    </row>
    <row r="379" spans="2:7" x14ac:dyDescent="0.2">
      <c r="B379">
        <v>24</v>
      </c>
      <c r="C379" t="s">
        <v>24</v>
      </c>
      <c r="D379">
        <v>0.565693496168168</v>
      </c>
      <c r="E379" t="s">
        <v>13</v>
      </c>
      <c r="F379">
        <v>0.36971412106156498</v>
      </c>
      <c r="G379">
        <v>0.51232547972911202</v>
      </c>
    </row>
    <row r="380" spans="2:7" x14ac:dyDescent="0.2">
      <c r="B380">
        <v>24</v>
      </c>
      <c r="C380" t="s">
        <v>24</v>
      </c>
      <c r="D380">
        <v>0.565693496168168</v>
      </c>
      <c r="E380" t="s">
        <v>14</v>
      </c>
      <c r="F380">
        <v>3.8843176628039003E-2</v>
      </c>
    </row>
    <row r="381" spans="2:7" x14ac:dyDescent="0.2">
      <c r="B381">
        <v>24</v>
      </c>
      <c r="C381" t="s">
        <v>24</v>
      </c>
      <c r="D381">
        <v>0.565693496168168</v>
      </c>
      <c r="E381" t="s">
        <v>15</v>
      </c>
      <c r="F381">
        <v>-3.8843176628025999E-2</v>
      </c>
    </row>
    <row r="382" spans="2:7" x14ac:dyDescent="0.2">
      <c r="B382">
        <v>24</v>
      </c>
      <c r="C382" t="s">
        <v>24</v>
      </c>
      <c r="D382">
        <v>0.565693496168168</v>
      </c>
      <c r="E382" t="s">
        <v>16</v>
      </c>
      <c r="F382">
        <v>0.163343657475473</v>
      </c>
    </row>
    <row r="383" spans="2:7" x14ac:dyDescent="0.2">
      <c r="B383">
        <v>24</v>
      </c>
      <c r="C383" t="s">
        <v>24</v>
      </c>
      <c r="D383">
        <v>0.565693496168168</v>
      </c>
      <c r="E383" t="s">
        <v>17</v>
      </c>
      <c r="F383">
        <v>-0.22556720725593399</v>
      </c>
    </row>
    <row r="384" spans="2:7" x14ac:dyDescent="0.2">
      <c r="B384">
        <v>24</v>
      </c>
      <c r="C384" t="s">
        <v>24</v>
      </c>
      <c r="D384">
        <v>0.565693496168168</v>
      </c>
      <c r="E384" t="s">
        <v>18</v>
      </c>
      <c r="F384">
        <v>6.2223549780423999E-2</v>
      </c>
    </row>
    <row r="385" spans="2:7" x14ac:dyDescent="0.2">
      <c r="B385">
        <v>24</v>
      </c>
      <c r="C385" t="s">
        <v>24</v>
      </c>
      <c r="D385">
        <v>0.565693496168168</v>
      </c>
      <c r="E385" t="s">
        <v>47</v>
      </c>
      <c r="F385">
        <v>20.917031232545501</v>
      </c>
    </row>
    <row r="386" spans="2:7" x14ac:dyDescent="0.2">
      <c r="B386">
        <v>25</v>
      </c>
      <c r="C386" t="s">
        <v>38</v>
      </c>
      <c r="D386">
        <v>0.92237537225522603</v>
      </c>
      <c r="E386" t="s">
        <v>3</v>
      </c>
      <c r="F386">
        <v>725.73673224842696</v>
      </c>
      <c r="G386">
        <v>0.426311848788063</v>
      </c>
    </row>
    <row r="387" spans="2:7" x14ac:dyDescent="0.2">
      <c r="B387">
        <v>25</v>
      </c>
      <c r="C387" t="s">
        <v>38</v>
      </c>
      <c r="D387">
        <v>0.92237537225522603</v>
      </c>
      <c r="E387" t="s">
        <v>5</v>
      </c>
      <c r="F387">
        <v>7059.9363166938101</v>
      </c>
      <c r="G387">
        <v>4.2089128955341701</v>
      </c>
    </row>
    <row r="388" spans="2:7" x14ac:dyDescent="0.2">
      <c r="B388">
        <v>25</v>
      </c>
      <c r="C388" t="s">
        <v>38</v>
      </c>
      <c r="D388">
        <v>0.92237537225522603</v>
      </c>
      <c r="E388" t="s">
        <v>6</v>
      </c>
      <c r="F388">
        <v>917.00239267166705</v>
      </c>
      <c r="G388">
        <v>0.54824084669920503</v>
      </c>
    </row>
    <row r="389" spans="2:7" x14ac:dyDescent="0.2">
      <c r="B389">
        <v>25</v>
      </c>
      <c r="C389" t="s">
        <v>38</v>
      </c>
      <c r="D389">
        <v>0.92237537225522603</v>
      </c>
      <c r="E389" t="s">
        <v>7</v>
      </c>
      <c r="F389">
        <v>-1340.11553307547</v>
      </c>
      <c r="G389">
        <v>-0.77130872068300604</v>
      </c>
    </row>
    <row r="390" spans="2:7" x14ac:dyDescent="0.2">
      <c r="B390">
        <v>25</v>
      </c>
      <c r="C390" t="s">
        <v>38</v>
      </c>
      <c r="D390">
        <v>0.92237537225522603</v>
      </c>
      <c r="E390" t="s">
        <v>8</v>
      </c>
      <c r="F390">
        <v>2956.5484256537002</v>
      </c>
      <c r="G390">
        <v>0.54305289110423005</v>
      </c>
    </row>
    <row r="391" spans="2:7" x14ac:dyDescent="0.2">
      <c r="B391">
        <v>25</v>
      </c>
      <c r="C391" t="s">
        <v>38</v>
      </c>
      <c r="D391">
        <v>0.92237537225522603</v>
      </c>
      <c r="E391" t="s">
        <v>9</v>
      </c>
      <c r="F391">
        <v>-1241.9004162338599</v>
      </c>
      <c r="G391">
        <v>-0.73823212527084903</v>
      </c>
    </row>
    <row r="392" spans="2:7" x14ac:dyDescent="0.2">
      <c r="B392">
        <v>25</v>
      </c>
      <c r="C392" t="s">
        <v>38</v>
      </c>
      <c r="D392">
        <v>0.92237537225522603</v>
      </c>
      <c r="E392" t="s">
        <v>10</v>
      </c>
      <c r="F392">
        <v>-4104.4517270717697</v>
      </c>
      <c r="G392">
        <v>-0.48433049102775</v>
      </c>
    </row>
    <row r="393" spans="2:7" x14ac:dyDescent="0.2">
      <c r="B393">
        <v>25</v>
      </c>
      <c r="C393" t="s">
        <v>38</v>
      </c>
      <c r="D393">
        <v>0.92237537225522603</v>
      </c>
      <c r="E393" t="s">
        <v>11</v>
      </c>
      <c r="F393">
        <v>-36751.867274377699</v>
      </c>
      <c r="G393">
        <v>-32.934801126263601</v>
      </c>
    </row>
    <row r="394" spans="2:7" x14ac:dyDescent="0.2">
      <c r="B394">
        <v>25</v>
      </c>
      <c r="C394" t="s">
        <v>38</v>
      </c>
      <c r="D394">
        <v>0.92237537225522603</v>
      </c>
      <c r="E394" t="s">
        <v>12</v>
      </c>
      <c r="F394">
        <v>11753.498188518701</v>
      </c>
      <c r="G394">
        <v>0.69146466399609097</v>
      </c>
    </row>
    <row r="395" spans="2:7" x14ac:dyDescent="0.2">
      <c r="B395">
        <v>25</v>
      </c>
      <c r="C395" t="s">
        <v>38</v>
      </c>
      <c r="D395">
        <v>0.92237537225522603</v>
      </c>
      <c r="E395" t="s">
        <v>13</v>
      </c>
      <c r="F395">
        <v>1113.9935113817301</v>
      </c>
      <c r="G395">
        <v>0.33039168401952101</v>
      </c>
    </row>
    <row r="396" spans="2:7" x14ac:dyDescent="0.2">
      <c r="B396">
        <v>25</v>
      </c>
      <c r="C396" t="s">
        <v>38</v>
      </c>
      <c r="D396">
        <v>0.92237537225522603</v>
      </c>
      <c r="E396" t="s">
        <v>14</v>
      </c>
      <c r="F396">
        <v>618.15444267402495</v>
      </c>
    </row>
    <row r="397" spans="2:7" x14ac:dyDescent="0.2">
      <c r="B397">
        <v>25</v>
      </c>
      <c r="C397" t="s">
        <v>38</v>
      </c>
      <c r="D397">
        <v>0.92237537225522603</v>
      </c>
      <c r="E397" t="s">
        <v>15</v>
      </c>
      <c r="F397">
        <v>-618.15444267404098</v>
      </c>
    </row>
    <row r="398" spans="2:7" x14ac:dyDescent="0.2">
      <c r="B398">
        <v>25</v>
      </c>
      <c r="C398" t="s">
        <v>38</v>
      </c>
      <c r="D398">
        <v>0.92237537225522603</v>
      </c>
      <c r="E398" t="s">
        <v>16</v>
      </c>
      <c r="F398">
        <v>154.059595210151</v>
      </c>
    </row>
    <row r="399" spans="2:7" x14ac:dyDescent="0.2">
      <c r="B399">
        <v>25</v>
      </c>
      <c r="C399" t="s">
        <v>38</v>
      </c>
      <c r="D399">
        <v>0.92237537225522603</v>
      </c>
      <c r="E399" t="s">
        <v>17</v>
      </c>
      <c r="F399">
        <v>540.67806400097504</v>
      </c>
    </row>
    <row r="400" spans="2:7" x14ac:dyDescent="0.2">
      <c r="B400">
        <v>25</v>
      </c>
      <c r="C400" t="s">
        <v>38</v>
      </c>
      <c r="D400">
        <v>0.92237537225522603</v>
      </c>
      <c r="E400" t="s">
        <v>18</v>
      </c>
      <c r="F400">
        <v>-694.73765921106997</v>
      </c>
    </row>
    <row r="401" spans="2:7" x14ac:dyDescent="0.2">
      <c r="B401">
        <v>25</v>
      </c>
      <c r="C401" t="s">
        <v>38</v>
      </c>
      <c r="D401">
        <v>0.92237537225522603</v>
      </c>
      <c r="E401" t="s">
        <v>47</v>
      </c>
      <c r="F401">
        <v>76289.634924820799</v>
      </c>
    </row>
    <row r="402" spans="2:7" x14ac:dyDescent="0.2">
      <c r="B402">
        <v>26</v>
      </c>
      <c r="C402" t="s">
        <v>37</v>
      </c>
      <c r="D402">
        <v>0.898296913147687</v>
      </c>
      <c r="E402" t="s">
        <v>3</v>
      </c>
      <c r="F402">
        <v>-15.394677962322101</v>
      </c>
      <c r="G402">
        <v>-0.19749724868291199</v>
      </c>
    </row>
    <row r="403" spans="2:7" x14ac:dyDescent="0.2">
      <c r="B403">
        <v>26</v>
      </c>
      <c r="C403" t="s">
        <v>37</v>
      </c>
      <c r="D403">
        <v>0.898296913147687</v>
      </c>
      <c r="E403" t="s">
        <v>5</v>
      </c>
      <c r="F403">
        <v>223.13765490463999</v>
      </c>
      <c r="G403">
        <v>2.9052543613894901</v>
      </c>
    </row>
    <row r="404" spans="2:7" x14ac:dyDescent="0.2">
      <c r="B404">
        <v>26</v>
      </c>
      <c r="C404" t="s">
        <v>37</v>
      </c>
      <c r="D404">
        <v>0.898296913147687</v>
      </c>
      <c r="E404" t="s">
        <v>6</v>
      </c>
      <c r="F404">
        <v>328.21980725943001</v>
      </c>
      <c r="G404">
        <v>4.2855626630110999</v>
      </c>
    </row>
    <row r="405" spans="2:7" x14ac:dyDescent="0.2">
      <c r="B405">
        <v>26</v>
      </c>
      <c r="C405" t="s">
        <v>37</v>
      </c>
      <c r="D405">
        <v>0.898296913147687</v>
      </c>
      <c r="E405" t="s">
        <v>7</v>
      </c>
      <c r="F405">
        <v>-115.75211216012001</v>
      </c>
      <c r="G405">
        <v>-1.4549801486056599</v>
      </c>
    </row>
    <row r="406" spans="2:7" x14ac:dyDescent="0.2">
      <c r="B406">
        <v>26</v>
      </c>
      <c r="C406" t="s">
        <v>37</v>
      </c>
      <c r="D406">
        <v>0.898296913147687</v>
      </c>
      <c r="E406" t="s">
        <v>8</v>
      </c>
      <c r="F406">
        <v>476.25383802208199</v>
      </c>
      <c r="G406">
        <v>1.91045918932417</v>
      </c>
    </row>
    <row r="407" spans="2:7" x14ac:dyDescent="0.2">
      <c r="B407">
        <v>26</v>
      </c>
      <c r="C407" t="s">
        <v>37</v>
      </c>
      <c r="D407">
        <v>0.898296913147687</v>
      </c>
      <c r="E407" t="s">
        <v>9</v>
      </c>
      <c r="F407">
        <v>-74.182825548880402</v>
      </c>
      <c r="G407">
        <v>-0.96305631117343204</v>
      </c>
    </row>
    <row r="408" spans="2:7" x14ac:dyDescent="0.2">
      <c r="B408">
        <v>26</v>
      </c>
      <c r="C408" t="s">
        <v>37</v>
      </c>
      <c r="D408">
        <v>0.898296913147687</v>
      </c>
      <c r="E408" t="s">
        <v>10</v>
      </c>
      <c r="F408">
        <v>-372.71987901177602</v>
      </c>
      <c r="G408">
        <v>-0.96053093865823802</v>
      </c>
    </row>
    <row r="409" spans="2:7" x14ac:dyDescent="0.2">
      <c r="B409">
        <v>26</v>
      </c>
      <c r="C409" t="s">
        <v>37</v>
      </c>
      <c r="D409">
        <v>0.898296913147687</v>
      </c>
      <c r="E409" t="s">
        <v>11</v>
      </c>
      <c r="F409">
        <v>-1401.23350224098</v>
      </c>
      <c r="G409">
        <v>-27.423841560974299</v>
      </c>
    </row>
    <row r="410" spans="2:7" x14ac:dyDescent="0.2">
      <c r="B410">
        <v>26</v>
      </c>
      <c r="C410" t="s">
        <v>37</v>
      </c>
      <c r="D410">
        <v>0.898296913147687</v>
      </c>
      <c r="E410" t="s">
        <v>12</v>
      </c>
      <c r="F410">
        <v>441.25755916723801</v>
      </c>
      <c r="G410">
        <v>0.56694006311105105</v>
      </c>
    </row>
    <row r="411" spans="2:7" x14ac:dyDescent="0.2">
      <c r="B411">
        <v>26</v>
      </c>
      <c r="C411" t="s">
        <v>37</v>
      </c>
      <c r="D411">
        <v>0.898296913147687</v>
      </c>
      <c r="E411" t="s">
        <v>13</v>
      </c>
      <c r="F411">
        <v>-11.8669297326632</v>
      </c>
      <c r="G411">
        <v>-7.6864704165104797E-2</v>
      </c>
    </row>
    <row r="412" spans="2:7" x14ac:dyDescent="0.2">
      <c r="B412">
        <v>26</v>
      </c>
      <c r="C412" t="s">
        <v>37</v>
      </c>
      <c r="D412">
        <v>0.898296913147687</v>
      </c>
      <c r="E412" t="s">
        <v>14</v>
      </c>
      <c r="F412">
        <v>12.069903264930399</v>
      </c>
    </row>
    <row r="413" spans="2:7" x14ac:dyDescent="0.2">
      <c r="B413">
        <v>26</v>
      </c>
      <c r="C413" t="s">
        <v>37</v>
      </c>
      <c r="D413">
        <v>0.898296913147687</v>
      </c>
      <c r="E413" t="s">
        <v>15</v>
      </c>
      <c r="F413">
        <v>-12.0699032649314</v>
      </c>
    </row>
    <row r="414" spans="2:7" x14ac:dyDescent="0.2">
      <c r="B414">
        <v>26</v>
      </c>
      <c r="C414" t="s">
        <v>37</v>
      </c>
      <c r="D414">
        <v>0.898296913147687</v>
      </c>
      <c r="E414" t="s">
        <v>16</v>
      </c>
      <c r="F414">
        <v>-8.1274029509044592</v>
      </c>
    </row>
    <row r="415" spans="2:7" x14ac:dyDescent="0.2">
      <c r="B415">
        <v>26</v>
      </c>
      <c r="C415" t="s">
        <v>37</v>
      </c>
      <c r="D415">
        <v>0.898296913147687</v>
      </c>
      <c r="E415" t="s">
        <v>17</v>
      </c>
      <c r="F415">
        <v>29.107180834936901</v>
      </c>
    </row>
    <row r="416" spans="2:7" x14ac:dyDescent="0.2">
      <c r="B416">
        <v>26</v>
      </c>
      <c r="C416" t="s">
        <v>37</v>
      </c>
      <c r="D416">
        <v>0.898296913147687</v>
      </c>
      <c r="E416" t="s">
        <v>18</v>
      </c>
      <c r="F416">
        <v>-20.979777884029701</v>
      </c>
    </row>
    <row r="417" spans="2:7" x14ac:dyDescent="0.2">
      <c r="B417">
        <v>26</v>
      </c>
      <c r="C417" t="s">
        <v>37</v>
      </c>
      <c r="D417">
        <v>0.898296913147687</v>
      </c>
      <c r="E417" t="s">
        <v>47</v>
      </c>
      <c r="F417">
        <v>3245.77229473641</v>
      </c>
    </row>
    <row r="418" spans="2:7" x14ac:dyDescent="0.2">
      <c r="B418">
        <v>27</v>
      </c>
      <c r="C418" t="s">
        <v>20</v>
      </c>
      <c r="D418">
        <v>0.96384609665699505</v>
      </c>
      <c r="E418" t="s">
        <v>3</v>
      </c>
      <c r="F418">
        <v>-1.16040063554221E-3</v>
      </c>
      <c r="G418">
        <v>-3.3487311994778901</v>
      </c>
    </row>
    <row r="419" spans="2:7" x14ac:dyDescent="0.2">
      <c r="B419">
        <v>27</v>
      </c>
      <c r="C419" t="s">
        <v>20</v>
      </c>
      <c r="D419">
        <v>0.96384609665699505</v>
      </c>
      <c r="E419" t="s">
        <v>5</v>
      </c>
      <c r="F419">
        <v>1.01488291578359E-3</v>
      </c>
      <c r="G419">
        <v>2.9724128359623201</v>
      </c>
    </row>
    <row r="420" spans="2:7" x14ac:dyDescent="0.2">
      <c r="B420">
        <v>27</v>
      </c>
      <c r="C420" t="s">
        <v>20</v>
      </c>
      <c r="D420">
        <v>0.96384609665699505</v>
      </c>
      <c r="E420" t="s">
        <v>6</v>
      </c>
      <c r="F420">
        <v>1.2542822588841001E-2</v>
      </c>
      <c r="G420">
        <v>36.840051784039801</v>
      </c>
    </row>
    <row r="421" spans="2:7" x14ac:dyDescent="0.2">
      <c r="B421">
        <v>27</v>
      </c>
      <c r="C421" t="s">
        <v>20</v>
      </c>
      <c r="D421">
        <v>0.96384609665699505</v>
      </c>
      <c r="E421" t="s">
        <v>7</v>
      </c>
      <c r="F421">
        <v>-8.4001951585489201E-4</v>
      </c>
      <c r="G421">
        <v>-2.3751957551268901</v>
      </c>
    </row>
    <row r="422" spans="2:7" x14ac:dyDescent="0.2">
      <c r="B422">
        <v>27</v>
      </c>
      <c r="C422" t="s">
        <v>20</v>
      </c>
      <c r="D422">
        <v>0.96384609665699505</v>
      </c>
      <c r="E422" t="s">
        <v>8</v>
      </c>
      <c r="F422">
        <v>-2.4356030805334698E-3</v>
      </c>
      <c r="G422">
        <v>-2.1977975245949999</v>
      </c>
    </row>
    <row r="423" spans="2:7" x14ac:dyDescent="0.2">
      <c r="B423">
        <v>27</v>
      </c>
      <c r="C423" t="s">
        <v>20</v>
      </c>
      <c r="D423">
        <v>0.96384609665699505</v>
      </c>
      <c r="E423" t="s">
        <v>9</v>
      </c>
      <c r="F423">
        <v>-3.0016514430196997E-4</v>
      </c>
      <c r="G423">
        <v>-0.87657778310530898</v>
      </c>
    </row>
    <row r="424" spans="2:7" x14ac:dyDescent="0.2">
      <c r="B424">
        <v>27</v>
      </c>
      <c r="C424" t="s">
        <v>20</v>
      </c>
      <c r="D424">
        <v>0.96384609665699505</v>
      </c>
      <c r="E424" t="s">
        <v>10</v>
      </c>
      <c r="F424">
        <v>1.0882881407789399E-3</v>
      </c>
      <c r="G424">
        <v>0.63089137064053202</v>
      </c>
    </row>
    <row r="425" spans="2:7" x14ac:dyDescent="0.2">
      <c r="B425">
        <v>27</v>
      </c>
      <c r="C425" t="s">
        <v>20</v>
      </c>
      <c r="D425">
        <v>0.96384609665699505</v>
      </c>
      <c r="E425" t="s">
        <v>11</v>
      </c>
      <c r="F425">
        <v>-6.0968135071482899E-3</v>
      </c>
      <c r="G425">
        <v>-26.841240197920001</v>
      </c>
    </row>
    <row r="426" spans="2:7" x14ac:dyDescent="0.2">
      <c r="B426">
        <v>27</v>
      </c>
      <c r="C426" t="s">
        <v>20</v>
      </c>
      <c r="D426">
        <v>0.96384609665699505</v>
      </c>
      <c r="E426" t="s">
        <v>12</v>
      </c>
      <c r="F426">
        <v>2.7113020461227702E-3</v>
      </c>
      <c r="G426">
        <v>0.78361867986996103</v>
      </c>
    </row>
    <row r="427" spans="2:7" x14ac:dyDescent="0.2">
      <c r="B427">
        <v>27</v>
      </c>
      <c r="C427" t="s">
        <v>20</v>
      </c>
      <c r="D427">
        <v>0.96384609665699505</v>
      </c>
      <c r="E427" t="s">
        <v>13</v>
      </c>
      <c r="F427">
        <v>9.8503681374885704E-4</v>
      </c>
      <c r="G427">
        <v>1.4352347462114901</v>
      </c>
    </row>
    <row r="428" spans="2:7" x14ac:dyDescent="0.2">
      <c r="B428">
        <v>27</v>
      </c>
      <c r="C428" t="s">
        <v>20</v>
      </c>
      <c r="D428">
        <v>0.96384609665699505</v>
      </c>
      <c r="E428" t="s">
        <v>14</v>
      </c>
      <c r="F428">
        <v>9.1158836763634505E-4</v>
      </c>
    </row>
    <row r="429" spans="2:7" x14ac:dyDescent="0.2">
      <c r="B429">
        <v>27</v>
      </c>
      <c r="C429" t="s">
        <v>20</v>
      </c>
      <c r="D429">
        <v>0.96384609665699505</v>
      </c>
      <c r="E429" t="s">
        <v>15</v>
      </c>
      <c r="F429">
        <v>-9.1158836763634602E-4</v>
      </c>
    </row>
    <row r="430" spans="2:7" x14ac:dyDescent="0.2">
      <c r="B430">
        <v>27</v>
      </c>
      <c r="C430" t="s">
        <v>20</v>
      </c>
      <c r="D430">
        <v>0.96384609665699505</v>
      </c>
      <c r="E430" t="s">
        <v>16</v>
      </c>
      <c r="F430">
        <v>9.4366605034616996E-4</v>
      </c>
    </row>
    <row r="431" spans="2:7" x14ac:dyDescent="0.2">
      <c r="B431">
        <v>27</v>
      </c>
      <c r="C431" t="s">
        <v>20</v>
      </c>
      <c r="D431">
        <v>0.96384609665699505</v>
      </c>
      <c r="E431" t="s">
        <v>17</v>
      </c>
      <c r="F431">
        <v>-3.8265036681531202E-4</v>
      </c>
    </row>
    <row r="432" spans="2:7" x14ac:dyDescent="0.2">
      <c r="B432">
        <v>27</v>
      </c>
      <c r="C432" t="s">
        <v>20</v>
      </c>
      <c r="D432">
        <v>0.96384609665699505</v>
      </c>
      <c r="E432" t="s">
        <v>18</v>
      </c>
      <c r="F432">
        <v>-5.6101568353084802E-4</v>
      </c>
    </row>
    <row r="433" spans="2:7" x14ac:dyDescent="0.2">
      <c r="B433">
        <v>27</v>
      </c>
      <c r="C433" t="s">
        <v>20</v>
      </c>
      <c r="D433">
        <v>0.96384609665699505</v>
      </c>
      <c r="E433" t="s">
        <v>47</v>
      </c>
      <c r="F433">
        <v>1.6811707923458999E-2</v>
      </c>
    </row>
    <row r="434" spans="2:7" x14ac:dyDescent="0.2">
      <c r="B434">
        <v>28</v>
      </c>
      <c r="C434" t="s">
        <v>22</v>
      </c>
      <c r="D434">
        <v>0.91760271021807505</v>
      </c>
      <c r="E434" t="s">
        <v>3</v>
      </c>
      <c r="F434">
        <v>14950.557590497099</v>
      </c>
      <c r="G434">
        <v>2.67291158441942</v>
      </c>
    </row>
    <row r="435" spans="2:7" x14ac:dyDescent="0.2">
      <c r="B435">
        <v>28</v>
      </c>
      <c r="C435" t="s">
        <v>22</v>
      </c>
      <c r="D435">
        <v>0.91760271021807505</v>
      </c>
      <c r="E435" t="s">
        <v>5</v>
      </c>
      <c r="F435">
        <v>7070.5756709187699</v>
      </c>
      <c r="G435">
        <v>1.28292962374754</v>
      </c>
    </row>
    <row r="436" spans="2:7" x14ac:dyDescent="0.2">
      <c r="B436">
        <v>28</v>
      </c>
      <c r="C436" t="s">
        <v>22</v>
      </c>
      <c r="D436">
        <v>0.91760271021807505</v>
      </c>
      <c r="E436" t="s">
        <v>6</v>
      </c>
      <c r="F436">
        <v>124562.104560762</v>
      </c>
      <c r="G436">
        <v>22.665523923982899</v>
      </c>
    </row>
    <row r="437" spans="2:7" x14ac:dyDescent="0.2">
      <c r="B437">
        <v>28</v>
      </c>
      <c r="C437" t="s">
        <v>22</v>
      </c>
      <c r="D437">
        <v>0.91760271021807505</v>
      </c>
      <c r="E437" t="s">
        <v>7</v>
      </c>
      <c r="F437">
        <v>-9853.1397645967099</v>
      </c>
      <c r="G437">
        <v>-1.7259950594378899</v>
      </c>
    </row>
    <row r="438" spans="2:7" x14ac:dyDescent="0.2">
      <c r="B438">
        <v>28</v>
      </c>
      <c r="C438" t="s">
        <v>22</v>
      </c>
      <c r="D438">
        <v>0.91760271021807505</v>
      </c>
      <c r="E438" t="s">
        <v>8</v>
      </c>
      <c r="F438">
        <v>-26615.530293921802</v>
      </c>
      <c r="G438">
        <v>-1.48789115270951</v>
      </c>
    </row>
    <row r="439" spans="2:7" x14ac:dyDescent="0.2">
      <c r="B439">
        <v>28</v>
      </c>
      <c r="C439" t="s">
        <v>22</v>
      </c>
      <c r="D439">
        <v>0.91760271021807505</v>
      </c>
      <c r="E439" t="s">
        <v>9</v>
      </c>
      <c r="F439">
        <v>-3980.66206109325</v>
      </c>
      <c r="G439">
        <v>-0.72017888098738303</v>
      </c>
    </row>
    <row r="440" spans="2:7" x14ac:dyDescent="0.2">
      <c r="B440">
        <v>28</v>
      </c>
      <c r="C440" t="s">
        <v>22</v>
      </c>
      <c r="D440">
        <v>0.91760271021807505</v>
      </c>
      <c r="E440" t="s">
        <v>10</v>
      </c>
      <c r="F440">
        <v>24333.3944461949</v>
      </c>
      <c r="G440">
        <v>0.87391311957539297</v>
      </c>
    </row>
    <row r="441" spans="2:7" x14ac:dyDescent="0.2">
      <c r="B441">
        <v>28</v>
      </c>
      <c r="C441" t="s">
        <v>22</v>
      </c>
      <c r="D441">
        <v>0.91760271021807505</v>
      </c>
      <c r="E441" t="s">
        <v>11</v>
      </c>
      <c r="F441">
        <v>-69436.1619310432</v>
      </c>
      <c r="G441">
        <v>-18.938267544266999</v>
      </c>
    </row>
    <row r="442" spans="2:7" x14ac:dyDescent="0.2">
      <c r="B442">
        <v>28</v>
      </c>
      <c r="C442" t="s">
        <v>22</v>
      </c>
      <c r="D442">
        <v>0.91760271021807505</v>
      </c>
      <c r="E442" t="s">
        <v>12</v>
      </c>
      <c r="F442">
        <v>-27126.233038798098</v>
      </c>
      <c r="G442">
        <v>-0.485703507037546</v>
      </c>
    </row>
    <row r="443" spans="2:7" x14ac:dyDescent="0.2">
      <c r="B443">
        <v>28</v>
      </c>
      <c r="C443" t="s">
        <v>22</v>
      </c>
      <c r="D443">
        <v>0.91760271021807505</v>
      </c>
      <c r="E443" t="s">
        <v>13</v>
      </c>
      <c r="F443">
        <v>14777.9123738986</v>
      </c>
      <c r="G443">
        <v>1.33394657969818</v>
      </c>
    </row>
    <row r="444" spans="2:7" x14ac:dyDescent="0.2">
      <c r="B444">
        <v>28</v>
      </c>
      <c r="C444" t="s">
        <v>22</v>
      </c>
      <c r="D444">
        <v>0.91760271021807505</v>
      </c>
      <c r="E444" t="s">
        <v>14</v>
      </c>
      <c r="F444">
        <v>10731.0125623644</v>
      </c>
    </row>
    <row r="445" spans="2:7" x14ac:dyDescent="0.2">
      <c r="B445">
        <v>28</v>
      </c>
      <c r="C445" t="s">
        <v>22</v>
      </c>
      <c r="D445">
        <v>0.91760271021807505</v>
      </c>
      <c r="E445" t="s">
        <v>15</v>
      </c>
      <c r="F445">
        <v>-10731.0125623643</v>
      </c>
    </row>
    <row r="446" spans="2:7" x14ac:dyDescent="0.2">
      <c r="B446">
        <v>28</v>
      </c>
      <c r="C446" t="s">
        <v>22</v>
      </c>
      <c r="D446">
        <v>0.91760271021807505</v>
      </c>
      <c r="E446" t="s">
        <v>16</v>
      </c>
      <c r="F446">
        <v>12384.601422809301</v>
      </c>
    </row>
    <row r="447" spans="2:7" x14ac:dyDescent="0.2">
      <c r="B447">
        <v>28</v>
      </c>
      <c r="C447" t="s">
        <v>22</v>
      </c>
      <c r="D447">
        <v>0.91760271021807505</v>
      </c>
      <c r="E447" t="s">
        <v>17</v>
      </c>
      <c r="F447">
        <v>-5218.8449222667396</v>
      </c>
    </row>
    <row r="448" spans="2:7" x14ac:dyDescent="0.2">
      <c r="B448">
        <v>28</v>
      </c>
      <c r="C448" t="s">
        <v>22</v>
      </c>
      <c r="D448">
        <v>0.91760271021807505</v>
      </c>
      <c r="E448" t="s">
        <v>18</v>
      </c>
      <c r="F448">
        <v>-7165.7565005427496</v>
      </c>
    </row>
    <row r="449" spans="2:7" x14ac:dyDescent="0.2">
      <c r="B449">
        <v>28</v>
      </c>
      <c r="C449" t="s">
        <v>22</v>
      </c>
      <c r="D449">
        <v>0.91760271021807505</v>
      </c>
      <c r="E449" t="s">
        <v>47</v>
      </c>
      <c r="F449">
        <v>152722.87098189499</v>
      </c>
    </row>
    <row r="450" spans="2:7" x14ac:dyDescent="0.2">
      <c r="B450">
        <v>29</v>
      </c>
      <c r="C450" t="s">
        <v>44</v>
      </c>
      <c r="D450">
        <v>0.92021141351969604</v>
      </c>
      <c r="E450" t="s">
        <v>3</v>
      </c>
      <c r="F450">
        <v>51354305.272242501</v>
      </c>
      <c r="G450">
        <v>5.5959235790689696</v>
      </c>
    </row>
    <row r="451" spans="2:7" x14ac:dyDescent="0.2">
      <c r="B451">
        <v>29</v>
      </c>
      <c r="C451" t="s">
        <v>44</v>
      </c>
      <c r="D451">
        <v>0.92021141351969604</v>
      </c>
      <c r="E451" t="s">
        <v>5</v>
      </c>
      <c r="F451">
        <v>4666085.9855783004</v>
      </c>
      <c r="G451">
        <v>0.51602234733764896</v>
      </c>
    </row>
    <row r="452" spans="2:7" x14ac:dyDescent="0.2">
      <c r="B452">
        <v>29</v>
      </c>
      <c r="C452" t="s">
        <v>44</v>
      </c>
      <c r="D452">
        <v>0.92021141351969604</v>
      </c>
      <c r="E452" t="s">
        <v>6</v>
      </c>
      <c r="F452">
        <v>-3365643.8885113499</v>
      </c>
      <c r="G452">
        <v>-0.37326365205200102</v>
      </c>
    </row>
    <row r="453" spans="2:7" x14ac:dyDescent="0.2">
      <c r="B453">
        <v>29</v>
      </c>
      <c r="C453" t="s">
        <v>44</v>
      </c>
      <c r="D453">
        <v>0.92021141351969604</v>
      </c>
      <c r="E453" t="s">
        <v>7</v>
      </c>
      <c r="F453">
        <v>-294540247.17676502</v>
      </c>
      <c r="G453">
        <v>-31.446858426839299</v>
      </c>
    </row>
    <row r="454" spans="2:7" x14ac:dyDescent="0.2">
      <c r="B454">
        <v>29</v>
      </c>
      <c r="C454" t="s">
        <v>44</v>
      </c>
      <c r="D454">
        <v>0.92021141351969604</v>
      </c>
      <c r="E454" t="s">
        <v>8</v>
      </c>
      <c r="F454">
        <v>-68354998.738545805</v>
      </c>
      <c r="G454">
        <v>-2.3290243597683902</v>
      </c>
    </row>
    <row r="455" spans="2:7" x14ac:dyDescent="0.2">
      <c r="B455">
        <v>29</v>
      </c>
      <c r="C455" t="s">
        <v>44</v>
      </c>
      <c r="D455">
        <v>0.92021141351969604</v>
      </c>
      <c r="E455" t="s">
        <v>9</v>
      </c>
      <c r="F455">
        <v>19230124.274874698</v>
      </c>
      <c r="G455">
        <v>2.1204833972623001</v>
      </c>
    </row>
    <row r="456" spans="2:7" x14ac:dyDescent="0.2">
      <c r="B456">
        <v>29</v>
      </c>
      <c r="C456" t="s">
        <v>44</v>
      </c>
      <c r="D456">
        <v>0.92021141351969604</v>
      </c>
      <c r="E456" t="s">
        <v>10</v>
      </c>
      <c r="F456">
        <v>158829025.620588</v>
      </c>
      <c r="G456">
        <v>3.4766674232614099</v>
      </c>
    </row>
    <row r="457" spans="2:7" x14ac:dyDescent="0.2">
      <c r="B457">
        <v>29</v>
      </c>
      <c r="C457" t="s">
        <v>44</v>
      </c>
      <c r="D457">
        <v>0.92021141351969604</v>
      </c>
      <c r="E457" t="s">
        <v>11</v>
      </c>
      <c r="F457">
        <v>-4379751.8219417101</v>
      </c>
      <c r="G457">
        <v>-0.72806768550776602</v>
      </c>
    </row>
    <row r="458" spans="2:7" x14ac:dyDescent="0.2">
      <c r="B458">
        <v>29</v>
      </c>
      <c r="C458" t="s">
        <v>44</v>
      </c>
      <c r="D458">
        <v>0.92021141351969604</v>
      </c>
      <c r="E458" t="s">
        <v>12</v>
      </c>
      <c r="F458">
        <v>-231850427.81085199</v>
      </c>
      <c r="G458">
        <v>-2.5302146501835701</v>
      </c>
    </row>
    <row r="459" spans="2:7" x14ac:dyDescent="0.2">
      <c r="B459">
        <v>29</v>
      </c>
      <c r="C459" t="s">
        <v>44</v>
      </c>
      <c r="D459">
        <v>0.92021141351969604</v>
      </c>
      <c r="E459" t="s">
        <v>13</v>
      </c>
      <c r="F459">
        <v>15373144.715388499</v>
      </c>
      <c r="G459">
        <v>0.845776822601367</v>
      </c>
    </row>
    <row r="460" spans="2:7" x14ac:dyDescent="0.2">
      <c r="B460">
        <v>29</v>
      </c>
      <c r="C460" t="s">
        <v>44</v>
      </c>
      <c r="D460">
        <v>0.92021141351969604</v>
      </c>
      <c r="E460" t="s">
        <v>14</v>
      </c>
      <c r="F460">
        <v>-2214603.4354239199</v>
      </c>
    </row>
    <row r="461" spans="2:7" x14ac:dyDescent="0.2">
      <c r="B461">
        <v>29</v>
      </c>
      <c r="C461" t="s">
        <v>44</v>
      </c>
      <c r="D461">
        <v>0.92021141351969604</v>
      </c>
      <c r="E461" t="s">
        <v>15</v>
      </c>
      <c r="F461">
        <v>2214603.4354243102</v>
      </c>
    </row>
    <row r="462" spans="2:7" x14ac:dyDescent="0.2">
      <c r="B462">
        <v>29</v>
      </c>
      <c r="C462" t="s">
        <v>44</v>
      </c>
      <c r="D462">
        <v>0.92021141351969604</v>
      </c>
      <c r="E462" t="s">
        <v>16</v>
      </c>
      <c r="F462">
        <v>1995462.84373627</v>
      </c>
    </row>
    <row r="463" spans="2:7" x14ac:dyDescent="0.2">
      <c r="B463">
        <v>29</v>
      </c>
      <c r="C463" t="s">
        <v>44</v>
      </c>
      <c r="D463">
        <v>0.92021141351969604</v>
      </c>
      <c r="E463" t="s">
        <v>17</v>
      </c>
      <c r="F463">
        <v>2178358.13751932</v>
      </c>
    </row>
    <row r="464" spans="2:7" x14ac:dyDescent="0.2">
      <c r="B464">
        <v>29</v>
      </c>
      <c r="C464" t="s">
        <v>44</v>
      </c>
      <c r="D464">
        <v>0.92021141351969604</v>
      </c>
      <c r="E464" t="s">
        <v>18</v>
      </c>
      <c r="F464">
        <v>-4173820.9812567001</v>
      </c>
    </row>
    <row r="465" spans="2:7" x14ac:dyDescent="0.2">
      <c r="B465">
        <v>29</v>
      </c>
      <c r="C465" t="s">
        <v>44</v>
      </c>
      <c r="D465">
        <v>0.92021141351969604</v>
      </c>
      <c r="E465" t="s">
        <v>47</v>
      </c>
      <c r="F465">
        <v>1090228674.8482001</v>
      </c>
    </row>
    <row r="466" spans="2:7" x14ac:dyDescent="0.2">
      <c r="B466">
        <v>30</v>
      </c>
      <c r="C466" t="s">
        <v>21</v>
      </c>
      <c r="D466">
        <v>0.90279095567016399</v>
      </c>
      <c r="E466" t="s">
        <v>3</v>
      </c>
      <c r="F466">
        <v>1.6290386445430201E-3</v>
      </c>
      <c r="G466">
        <v>6.6881469976648704</v>
      </c>
    </row>
    <row r="467" spans="2:7" x14ac:dyDescent="0.2">
      <c r="B467">
        <v>30</v>
      </c>
      <c r="C467" t="s">
        <v>21</v>
      </c>
      <c r="D467">
        <v>0.90279095567016399</v>
      </c>
      <c r="E467" t="s">
        <v>5</v>
      </c>
      <c r="F467">
        <v>-1.51709483481215E-3</v>
      </c>
      <c r="G467">
        <v>-6.3213233863109597</v>
      </c>
    </row>
    <row r="468" spans="2:7" x14ac:dyDescent="0.2">
      <c r="B468">
        <v>30</v>
      </c>
      <c r="C468" t="s">
        <v>21</v>
      </c>
      <c r="D468">
        <v>0.90279095567016399</v>
      </c>
      <c r="E468" t="s">
        <v>6</v>
      </c>
      <c r="F468">
        <v>5.1528943288074204E-3</v>
      </c>
      <c r="G468">
        <v>21.531698079875</v>
      </c>
    </row>
    <row r="469" spans="2:7" x14ac:dyDescent="0.2">
      <c r="B469">
        <v>30</v>
      </c>
      <c r="C469" t="s">
        <v>21</v>
      </c>
      <c r="D469">
        <v>0.90279095567016399</v>
      </c>
      <c r="E469" t="s">
        <v>7</v>
      </c>
      <c r="F469">
        <v>-3.1938538026759699E-3</v>
      </c>
      <c r="G469">
        <v>-12.8477523771289</v>
      </c>
    </row>
    <row r="470" spans="2:7" x14ac:dyDescent="0.2">
      <c r="B470">
        <v>30</v>
      </c>
      <c r="C470" t="s">
        <v>21</v>
      </c>
      <c r="D470">
        <v>0.90279095567016399</v>
      </c>
      <c r="E470" t="s">
        <v>8</v>
      </c>
      <c r="F470">
        <v>1.0761750701820699E-2</v>
      </c>
      <c r="G470">
        <v>13.815486571076701</v>
      </c>
    </row>
    <row r="471" spans="2:7" x14ac:dyDescent="0.2">
      <c r="B471">
        <v>30</v>
      </c>
      <c r="C471" t="s">
        <v>21</v>
      </c>
      <c r="D471">
        <v>0.90279095567016399</v>
      </c>
      <c r="E471" t="s">
        <v>9</v>
      </c>
      <c r="F471">
        <v>3.3306690818452999E-4</v>
      </c>
      <c r="G471">
        <v>1.3837695750313901</v>
      </c>
    </row>
    <row r="472" spans="2:7" x14ac:dyDescent="0.2">
      <c r="B472">
        <v>30</v>
      </c>
      <c r="C472" t="s">
        <v>21</v>
      </c>
      <c r="D472">
        <v>0.90279095567016399</v>
      </c>
      <c r="E472" t="s">
        <v>10</v>
      </c>
      <c r="F472">
        <v>3.30493767209187E-3</v>
      </c>
      <c r="G472">
        <v>2.72568746272449</v>
      </c>
    </row>
    <row r="473" spans="2:7" x14ac:dyDescent="0.2">
      <c r="B473">
        <v>30</v>
      </c>
      <c r="C473" t="s">
        <v>21</v>
      </c>
      <c r="D473">
        <v>0.90279095567016399</v>
      </c>
      <c r="E473" t="s">
        <v>11</v>
      </c>
      <c r="F473">
        <v>5.9873334935040498E-5</v>
      </c>
      <c r="G473">
        <v>0.375003403363523</v>
      </c>
    </row>
    <row r="474" spans="2:7" x14ac:dyDescent="0.2">
      <c r="B474">
        <v>30</v>
      </c>
      <c r="C474" t="s">
        <v>21</v>
      </c>
      <c r="D474">
        <v>0.90279095567016399</v>
      </c>
      <c r="E474" t="s">
        <v>12</v>
      </c>
      <c r="F474">
        <v>1.8570067127201599E-2</v>
      </c>
      <c r="G474">
        <v>7.6355872567748699</v>
      </c>
    </row>
    <row r="475" spans="2:7" x14ac:dyDescent="0.2">
      <c r="B475">
        <v>30</v>
      </c>
      <c r="C475" t="s">
        <v>21</v>
      </c>
      <c r="D475">
        <v>0.90279095567016399</v>
      </c>
      <c r="E475" t="s">
        <v>13</v>
      </c>
      <c r="F475">
        <v>-7.28971984641396E-4</v>
      </c>
      <c r="G475">
        <v>-1.5110659131924</v>
      </c>
    </row>
    <row r="476" spans="2:7" x14ac:dyDescent="0.2">
      <c r="B476">
        <v>30</v>
      </c>
      <c r="C476" t="s">
        <v>21</v>
      </c>
      <c r="D476">
        <v>0.90279095567016399</v>
      </c>
      <c r="E476" t="s">
        <v>14</v>
      </c>
      <c r="F476">
        <v>-1.13650916708769E-4</v>
      </c>
    </row>
    <row r="477" spans="2:7" x14ac:dyDescent="0.2">
      <c r="B477">
        <v>30</v>
      </c>
      <c r="C477" t="s">
        <v>21</v>
      </c>
      <c r="D477">
        <v>0.90279095567016399</v>
      </c>
      <c r="E477" t="s">
        <v>15</v>
      </c>
      <c r="F477">
        <v>1.13650916708738E-4</v>
      </c>
    </row>
    <row r="478" spans="2:7" x14ac:dyDescent="0.2">
      <c r="B478">
        <v>30</v>
      </c>
      <c r="C478" t="s">
        <v>21</v>
      </c>
      <c r="D478">
        <v>0.90279095567016399</v>
      </c>
      <c r="E478" t="s">
        <v>16</v>
      </c>
      <c r="F478">
        <v>1.2791942565339401E-4</v>
      </c>
    </row>
    <row r="479" spans="2:7" x14ac:dyDescent="0.2">
      <c r="B479">
        <v>30</v>
      </c>
      <c r="C479" t="s">
        <v>21</v>
      </c>
      <c r="D479">
        <v>0.90279095567016399</v>
      </c>
      <c r="E479" t="s">
        <v>17</v>
      </c>
      <c r="F479">
        <v>-1.78426896390341E-4</v>
      </c>
    </row>
    <row r="480" spans="2:7" x14ac:dyDescent="0.2">
      <c r="B480">
        <v>30</v>
      </c>
      <c r="C480" t="s">
        <v>21</v>
      </c>
      <c r="D480">
        <v>0.90279095567016399</v>
      </c>
      <c r="E480" t="s">
        <v>18</v>
      </c>
      <c r="F480">
        <v>5.0507470737024599E-5</v>
      </c>
    </row>
    <row r="481" spans="2:6" x14ac:dyDescent="0.2">
      <c r="B481">
        <v>30</v>
      </c>
      <c r="C481" t="s">
        <v>21</v>
      </c>
      <c r="D481">
        <v>0.90279095567016399</v>
      </c>
      <c r="E481" t="s">
        <v>47</v>
      </c>
      <c r="F481">
        <v>0.11176463338288101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7283-099A-574C-8398-1EFEEBF9FB18}">
  <dimension ref="A1:B16"/>
  <sheetViews>
    <sheetView workbookViewId="0">
      <selection activeCell="B17" sqref="B17"/>
    </sheetView>
  </sheetViews>
  <sheetFormatPr baseColWidth="10" defaultRowHeight="16" x14ac:dyDescent="0.2"/>
  <sheetData>
    <row r="1" spans="1:2" x14ac:dyDescent="0.2">
      <c r="A1" t="s">
        <v>0</v>
      </c>
      <c r="B1" t="s">
        <v>49</v>
      </c>
    </row>
    <row r="2" spans="1:2" x14ac:dyDescent="0.2">
      <c r="A2" s="3" t="s">
        <v>3</v>
      </c>
      <c r="B2" t="s">
        <v>50</v>
      </c>
    </row>
    <row r="3" spans="1:2" x14ac:dyDescent="0.2">
      <c r="A3" s="3" t="s">
        <v>5</v>
      </c>
      <c r="B3" t="s">
        <v>51</v>
      </c>
    </row>
    <row r="4" spans="1:2" x14ac:dyDescent="0.2">
      <c r="A4" s="3" t="s">
        <v>6</v>
      </c>
      <c r="B4" t="s">
        <v>52</v>
      </c>
    </row>
    <row r="5" spans="1:2" x14ac:dyDescent="0.2">
      <c r="A5" s="3" t="s">
        <v>7</v>
      </c>
      <c r="B5" t="s">
        <v>53</v>
      </c>
    </row>
    <row r="6" spans="1:2" x14ac:dyDescent="0.2">
      <c r="A6" s="3" t="s">
        <v>8</v>
      </c>
      <c r="B6" t="s">
        <v>54</v>
      </c>
    </row>
    <row r="7" spans="1:2" x14ac:dyDescent="0.2">
      <c r="A7" s="3" t="s">
        <v>9</v>
      </c>
      <c r="B7" t="s">
        <v>55</v>
      </c>
    </row>
    <row r="8" spans="1:2" x14ac:dyDescent="0.2">
      <c r="A8" s="3" t="s">
        <v>10</v>
      </c>
      <c r="B8" t="s">
        <v>56</v>
      </c>
    </row>
    <row r="9" spans="1:2" x14ac:dyDescent="0.2">
      <c r="A9" s="3" t="s">
        <v>11</v>
      </c>
      <c r="B9" t="s">
        <v>57</v>
      </c>
    </row>
    <row r="10" spans="1:2" x14ac:dyDescent="0.2">
      <c r="A10" s="3" t="s">
        <v>12</v>
      </c>
      <c r="B10" t="s">
        <v>58</v>
      </c>
    </row>
    <row r="11" spans="1:2" x14ac:dyDescent="0.2">
      <c r="A11" s="3" t="s">
        <v>13</v>
      </c>
      <c r="B11" t="s">
        <v>59</v>
      </c>
    </row>
    <row r="12" spans="1:2" x14ac:dyDescent="0.2">
      <c r="A12" s="3" t="s">
        <v>14</v>
      </c>
      <c r="B12" t="s">
        <v>60</v>
      </c>
    </row>
    <row r="13" spans="1:2" x14ac:dyDescent="0.2">
      <c r="A13" s="3" t="s">
        <v>15</v>
      </c>
      <c r="B13" t="s">
        <v>61</v>
      </c>
    </row>
    <row r="14" spans="1:2" x14ac:dyDescent="0.2">
      <c r="A14" s="3" t="s">
        <v>16</v>
      </c>
      <c r="B14" t="s">
        <v>62</v>
      </c>
    </row>
    <row r="15" spans="1:2" x14ac:dyDescent="0.2">
      <c r="A15" s="3" t="s">
        <v>17</v>
      </c>
      <c r="B15" t="s">
        <v>62</v>
      </c>
    </row>
    <row r="16" spans="1:2" x14ac:dyDescent="0.2">
      <c r="A16" s="3" t="s">
        <v>18</v>
      </c>
      <c r="B1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D807-CD20-5349-AE09-A7670CD0E692}">
  <dimension ref="A1:E20"/>
  <sheetViews>
    <sheetView tabSelected="1" workbookViewId="0">
      <selection activeCell="C1" sqref="C1"/>
    </sheetView>
  </sheetViews>
  <sheetFormatPr baseColWidth="10" defaultRowHeight="16" x14ac:dyDescent="0.2"/>
  <cols>
    <col min="3" max="3" width="35.6640625" customWidth="1"/>
    <col min="4" max="4" width="16.6640625" customWidth="1"/>
    <col min="5" max="5" width="18" customWidth="1"/>
  </cols>
  <sheetData>
    <row r="1" spans="1:5" ht="25" customHeight="1" x14ac:dyDescent="0.2">
      <c r="A1" t="s">
        <v>63</v>
      </c>
      <c r="C1" t="str">
        <f>+VLOOKUP(A2,'paste-csv-here'!B:F,2,FALSE)</f>
        <v>AM Travel Time Index</v>
      </c>
    </row>
    <row r="2" spans="1:5" ht="25" customHeight="1" x14ac:dyDescent="0.2">
      <c r="A2">
        <v>1</v>
      </c>
      <c r="C2" t="str">
        <f>+_xlfn.CONCAT("R-squared = ",TEXT(VLOOKUP(A2,'paste-csv-here'!B:F,3,FALSE),"0.000"))</f>
        <v>R-squared = 0.877</v>
      </c>
    </row>
    <row r="3" spans="1:5" ht="25" customHeight="1" x14ac:dyDescent="0.2"/>
    <row r="4" spans="1:5" ht="25" customHeight="1" x14ac:dyDescent="0.2">
      <c r="C4" s="7" t="s">
        <v>65</v>
      </c>
      <c r="D4" s="8" t="s">
        <v>64</v>
      </c>
      <c r="E4" s="8" t="s">
        <v>66</v>
      </c>
    </row>
    <row r="5" spans="1:5" ht="25" customHeight="1" x14ac:dyDescent="0.2">
      <c r="A5" t="s">
        <v>47</v>
      </c>
      <c r="C5" t="s">
        <v>67</v>
      </c>
      <c r="D5" s="5">
        <f>+SUMIFS('paste-csv-here'!F:F,'paste-csv-here'!E:E,A5,'paste-csv-here'!B:B,A$2)</f>
        <v>1.4638020578225399</v>
      </c>
      <c r="E5" s="6">
        <f>+SUMIFS('paste-csv-here'!G:G,'paste-csv-here'!E:E,A5,'paste-csv-here'!B:B,A$2)</f>
        <v>0</v>
      </c>
    </row>
    <row r="6" spans="1:5" ht="25" customHeight="1" x14ac:dyDescent="0.2">
      <c r="A6" s="4" t="s">
        <v>3</v>
      </c>
      <c r="C6" t="str">
        <f>+VLOOKUP(A6,coeff_names!A:B,2,FALSE)</f>
        <v>Automated vehicle adoption rate</v>
      </c>
      <c r="D6" s="5">
        <f>+SUMIFS('paste-csv-here'!F:F,'paste-csv-here'!E:E,A6,'paste-csv-here'!B:B,A$2)</f>
        <v>0.107443867234534</v>
      </c>
      <c r="E6" s="6">
        <f>+SUMIFS('paste-csv-here'!G:G,'paste-csv-here'!E:E,A6,'paste-csv-here'!B:B,A$2)</f>
        <v>9.8786300162749896</v>
      </c>
    </row>
    <row r="7" spans="1:5" ht="25" customHeight="1" x14ac:dyDescent="0.2">
      <c r="A7" s="4" t="s">
        <v>5</v>
      </c>
      <c r="C7" t="str">
        <f>+VLOOKUP(A7,coeff_names!A:B,2,FALSE)</f>
        <v>Electric vehicle adoption rate</v>
      </c>
      <c r="D7" s="5">
        <f>+SUMIFS('paste-csv-here'!F:F,'paste-csv-here'!E:E,A7,'paste-csv-here'!B:B,A$2)</f>
        <v>7.7043088776467998E-3</v>
      </c>
      <c r="E7" s="6">
        <f>+SUMIFS('paste-csv-here'!G:G,'paste-csv-here'!E:E,A7,'paste-csv-here'!B:B,A$2)</f>
        <v>0.71890189844510699</v>
      </c>
    </row>
    <row r="8" spans="1:5" ht="25" customHeight="1" x14ac:dyDescent="0.2">
      <c r="A8" t="s">
        <v>6</v>
      </c>
      <c r="C8" t="str">
        <f>+VLOOKUP(A8,coeff_names!A:B,2,FALSE)</f>
        <v>E-commerce level</v>
      </c>
      <c r="D8" s="5">
        <f>+SUMIFS('paste-csv-here'!F:F,'paste-csv-here'!E:E,A8,'paste-csv-here'!B:B,A$2)</f>
        <v>-0.242535205195929</v>
      </c>
      <c r="E8" s="6">
        <f>+SUMIFS('paste-csv-here'!G:G,'paste-csv-here'!E:E,A8,'paste-csv-here'!B:B,A$2)</f>
        <v>-22.695643355757198</v>
      </c>
    </row>
    <row r="9" spans="1:5" ht="25" customHeight="1" x14ac:dyDescent="0.2">
      <c r="A9" t="s">
        <v>7</v>
      </c>
      <c r="C9" t="str">
        <f>+VLOOKUP(A9,coeff_names!A:B,2,FALSE)</f>
        <v>Household and employment distribution</v>
      </c>
      <c r="D9" s="5">
        <f>+SUMIFS('paste-csv-here'!F:F,'paste-csv-here'!E:E,A9,'paste-csv-here'!B:B,A$2)</f>
        <v>3.4418623558664298E-2</v>
      </c>
      <c r="E9" s="6">
        <f>+SUMIFS('paste-csv-here'!G:G,'paste-csv-here'!E:E,A9,'paste-csv-here'!B:B,A$2)</f>
        <v>3.10060390052565</v>
      </c>
    </row>
    <row r="10" spans="1:5" ht="25" customHeight="1" x14ac:dyDescent="0.2">
      <c r="A10" t="s">
        <v>8</v>
      </c>
      <c r="C10" t="str">
        <f>+VLOOKUP(A10,coeff_names!A:B,2,FALSE)</f>
        <v>Household and employment growth</v>
      </c>
      <c r="D10" s="5">
        <f>+SUMIFS('paste-csv-here'!F:F,'paste-csv-here'!E:E,A10,'paste-csv-here'!B:B,A$2)</f>
        <v>-0.13537961154504499</v>
      </c>
      <c r="E10" s="6">
        <f>+SUMIFS('paste-csv-here'!G:G,'paste-csv-here'!E:E,A10,'paste-csv-here'!B:B,A$2)</f>
        <v>-3.8920390320494902</v>
      </c>
    </row>
    <row r="11" spans="1:5" ht="25" customHeight="1" x14ac:dyDescent="0.2">
      <c r="A11" t="s">
        <v>9</v>
      </c>
      <c r="C11" t="str">
        <f>+VLOOKUP(A11,coeff_names!A:B,2,FALSE)</f>
        <v>Heavy and medium truck travel</v>
      </c>
      <c r="D11" s="5">
        <f>+SUMIFS('paste-csv-here'!F:F,'paste-csv-here'!E:E,A11,'paste-csv-here'!B:B,A$2)</f>
        <v>1.7979835761534502E-2</v>
      </c>
      <c r="E11" s="6">
        <f>+SUMIFS('paste-csv-here'!G:G,'paste-csv-here'!E:E,A11,'paste-csv-here'!B:B,A$2)</f>
        <v>1.67285646064339</v>
      </c>
    </row>
    <row r="12" spans="1:5" ht="25" customHeight="1" x14ac:dyDescent="0.2">
      <c r="A12" t="s">
        <v>10</v>
      </c>
      <c r="C12" t="str">
        <f>+VLOOKUP(A12,coeff_names!A:B,2,FALSE)</f>
        <v>Incentives for special populations</v>
      </c>
      <c r="D12" s="5">
        <f>+SUMIFS('paste-csv-here'!F:F,'paste-csv-here'!E:E,A12,'paste-csv-here'!B:B,A$2)</f>
        <v>0.15415131596777801</v>
      </c>
      <c r="E12" s="6">
        <f>+SUMIFS('paste-csv-here'!G:G,'paste-csv-here'!E:E,A12,'paste-csv-here'!B:B,A$2)</f>
        <v>2.8470866523530201</v>
      </c>
    </row>
    <row r="13" spans="1:5" ht="25" customHeight="1" x14ac:dyDescent="0.2">
      <c r="A13" t="s">
        <v>11</v>
      </c>
      <c r="C13" t="str">
        <f>+VLOOKUP(A13,coeff_names!A:B,2,FALSE)</f>
        <v>Road user fee</v>
      </c>
      <c r="D13" s="5">
        <f>+SUMIFS('paste-csv-here'!F:F,'paste-csv-here'!E:E,A13,'paste-csv-here'!B:B,A$2)</f>
        <v>-7.6861546976954203E-3</v>
      </c>
      <c r="E13" s="6">
        <f>+SUMIFS('paste-csv-here'!G:G,'paste-csv-here'!E:E,A13,'paste-csv-here'!B:B,A$2)</f>
        <v>-1.0780813846707999</v>
      </c>
    </row>
    <row r="14" spans="1:5" ht="25" customHeight="1" x14ac:dyDescent="0.2">
      <c r="A14" t="s">
        <v>12</v>
      </c>
      <c r="C14" t="str">
        <f>+VLOOKUP(A14,coeff_names!A:B,2,FALSE)</f>
        <v>Roadway capacity improvements</v>
      </c>
      <c r="D14" s="5">
        <f>+SUMIFS('paste-csv-here'!F:F,'paste-csv-here'!E:E,A14,'paste-csv-here'!B:B,A$2)</f>
        <v>-0.23969440656493199</v>
      </c>
      <c r="E14" s="6">
        <f>+SUMIFS('paste-csv-here'!G:G,'paste-csv-here'!E:E,A14,'paste-csv-here'!B:B,A$2)</f>
        <v>-2.2071280801755302</v>
      </c>
    </row>
    <row r="15" spans="1:5" ht="25" customHeight="1" x14ac:dyDescent="0.2">
      <c r="A15" t="s">
        <v>13</v>
      </c>
      <c r="C15" t="str">
        <f>+VLOOKUP(A15,coeff_names!A:B,2,FALSE)</f>
        <v>Teleworking</v>
      </c>
      <c r="D15" s="5">
        <f>+SUMIFS('paste-csv-here'!F:F,'paste-csv-here'!E:E,A15,'paste-csv-here'!B:B,A$2)</f>
        <v>1.6637892553642199E-3</v>
      </c>
      <c r="E15" s="6">
        <f>+SUMIFS('paste-csv-here'!G:G,'paste-csv-here'!E:E,A15,'paste-csv-here'!B:B,A$2)</f>
        <v>7.7234537760817804E-2</v>
      </c>
    </row>
    <row r="16" spans="1:5" ht="25" customHeight="1" x14ac:dyDescent="0.2">
      <c r="A16" t="s">
        <v>14</v>
      </c>
      <c r="C16" t="str">
        <f>+VLOOKUP(A16,coeff_names!A:B,2,FALSE)</f>
        <v>Transit headways</v>
      </c>
      <c r="D16" s="5">
        <f>+SUMIFS('paste-csv-here'!F:F,'paste-csv-here'!E:E,A16,'paste-csv-here'!B:B,A$2)</f>
        <v>5.7936626327297503E-4</v>
      </c>
      <c r="E16" s="6">
        <f>+SUMIFS('paste-csv-here'!G:G,'paste-csv-here'!E:E,A16,'paste-csv-here'!B:B,A$2)</f>
        <v>0</v>
      </c>
    </row>
    <row r="17" spans="1:5" ht="25" customHeight="1" x14ac:dyDescent="0.2">
      <c r="A17" t="s">
        <v>15</v>
      </c>
      <c r="C17" t="str">
        <f>+VLOOKUP(A17,coeff_names!A:B,2,FALSE)</f>
        <v>Transit service expansion</v>
      </c>
      <c r="D17" s="5">
        <f>+SUMIFS('paste-csv-here'!F:F,'paste-csv-here'!E:E,A17,'paste-csv-here'!B:B,A$2)</f>
        <v>-5.7936626327251696E-4</v>
      </c>
      <c r="E17" s="6">
        <f>+SUMIFS('paste-csv-here'!G:G,'paste-csv-here'!E:E,A17,'paste-csv-here'!B:B,A$2)</f>
        <v>0</v>
      </c>
    </row>
    <row r="18" spans="1:5" ht="25" customHeight="1" x14ac:dyDescent="0.2">
      <c r="A18" t="s">
        <v>16</v>
      </c>
      <c r="C18" t="str">
        <f>+VLOOKUP(A18,coeff_names!A:B,2,FALSE)</f>
        <v>Unknown</v>
      </c>
      <c r="D18" s="5">
        <f>+SUMIFS('paste-csv-here'!F:F,'paste-csv-here'!E:E,A18,'paste-csv-here'!B:B,A$2)</f>
        <v>-7.1338570820965097E-3</v>
      </c>
      <c r="E18" s="6">
        <f>+SUMIFS('paste-csv-here'!G:G,'paste-csv-here'!E:E,A18,'paste-csv-here'!B:B,A$2)</f>
        <v>0</v>
      </c>
    </row>
    <row r="19" spans="1:5" ht="25" customHeight="1" x14ac:dyDescent="0.2">
      <c r="A19" t="s">
        <v>17</v>
      </c>
      <c r="C19" t="str">
        <f>+VLOOKUP(A19,coeff_names!A:B,2,FALSE)</f>
        <v>Unknown</v>
      </c>
      <c r="D19" s="5">
        <f>+SUMIFS('paste-csv-here'!F:F,'paste-csv-here'!E:E,A19,'paste-csv-here'!B:B,A$2)</f>
        <v>1.3379735994014401E-2</v>
      </c>
      <c r="E19" s="6">
        <f>+SUMIFS('paste-csv-here'!G:G,'paste-csv-here'!E:E,A19,'paste-csv-here'!B:B,A$2)</f>
        <v>0</v>
      </c>
    </row>
    <row r="20" spans="1:5" ht="25" customHeight="1" x14ac:dyDescent="0.2">
      <c r="A20" t="s">
        <v>18</v>
      </c>
      <c r="C20" t="str">
        <f>+VLOOKUP(A20,coeff_names!A:B,2,FALSE)</f>
        <v>Unknown</v>
      </c>
      <c r="D20" s="5">
        <f>+SUMIFS('paste-csv-here'!F:F,'paste-csv-here'!E:E,A20,'paste-csv-here'!B:B,A$2)</f>
        <v>-6.2458789119191598E-3</v>
      </c>
      <c r="E20" s="6">
        <f>+SUMIFS('paste-csv-here'!G:G,'paste-csv-here'!E:E,A20,'paste-csv-here'!B:B,A$2)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paste-csv-here</vt:lpstr>
      <vt:lpstr>coeff_names</vt:lpstr>
      <vt:lpstr>model-01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Ory, David</cp:lastModifiedBy>
  <dcterms:created xsi:type="dcterms:W3CDTF">2025-06-09T13:19:21Z</dcterms:created>
  <dcterms:modified xsi:type="dcterms:W3CDTF">2025-06-09T14:26:04Z</dcterms:modified>
</cp:coreProperties>
</file>